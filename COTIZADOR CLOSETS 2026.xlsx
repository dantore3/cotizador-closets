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danieltorres/Desktop/"/>
    </mc:Choice>
  </mc:AlternateContent>
  <xr:revisionPtr revIDLastSave="0" documentId="13_ncr:1_{6E85045F-72F4-F74A-BC2E-A2C9FA0F2ED8}" xr6:coauthVersionLast="47" xr6:coauthVersionMax="47" xr10:uidLastSave="{00000000-0000-0000-0000-000000000000}"/>
  <bookViews>
    <workbookView xWindow="0" yWindow="0" windowWidth="51200" windowHeight="28800" tabRatio="500" activeTab="5" xr2:uid="{00000000-000D-0000-FFFF-FFFF00000000}"/>
  </bookViews>
  <sheets>
    <sheet name="FUO" sheetId="1" r:id="rId1"/>
    <sheet name="INSUMOS" sheetId="4" r:id="rId2"/>
    <sheet name="COSTOS_M2" sheetId="7" r:id="rId3"/>
    <sheet name="MANO_DE_OBRA" sheetId="8" r:id="rId4"/>
    <sheet name="HERRAJES" sheetId="10" r:id="rId5"/>
    <sheet name="COTIZADOR" sheetId="3" r:id="rId6"/>
    <sheet name="PRESUPUESTO_CLIENTE" sheetId="5" r:id="rId7"/>
    <sheet name="GUÍA DE USO" sheetId="6" r:id="rId8"/>
    <sheet name="COMPONENTES" sheetId="2" state="hidden" r:id="rId9"/>
    <sheet name="_LISTAS" sheetId="9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94" i="3" l="1"/>
  <c r="J194" i="3"/>
  <c r="I194" i="3"/>
  <c r="K193" i="3"/>
  <c r="J193" i="3"/>
  <c r="I193" i="3"/>
  <c r="K192" i="3"/>
  <c r="J192" i="3"/>
  <c r="I192" i="3"/>
  <c r="K191" i="3"/>
  <c r="J191" i="3"/>
  <c r="I191" i="3"/>
  <c r="K190" i="3"/>
  <c r="J190" i="3"/>
  <c r="I190" i="3"/>
  <c r="K189" i="3"/>
  <c r="J189" i="3"/>
  <c r="I189" i="3"/>
  <c r="K188" i="3"/>
  <c r="J188" i="3"/>
  <c r="I188" i="3"/>
  <c r="K187" i="3"/>
  <c r="J187" i="3"/>
  <c r="I187" i="3"/>
  <c r="K186" i="3"/>
  <c r="L186" i="3" s="1"/>
  <c r="M186" i="3" s="1"/>
  <c r="N186" i="3" s="1"/>
  <c r="P186" i="3" s="1"/>
  <c r="J186" i="3"/>
  <c r="I186" i="3"/>
  <c r="K185" i="3"/>
  <c r="L185" i="3" s="1"/>
  <c r="M185" i="3" s="1"/>
  <c r="N185" i="3" s="1"/>
  <c r="P185" i="3" s="1"/>
  <c r="J185" i="3"/>
  <c r="I185" i="3"/>
  <c r="K184" i="3"/>
  <c r="J184" i="3"/>
  <c r="I184" i="3"/>
  <c r="K183" i="3"/>
  <c r="J183" i="3"/>
  <c r="I183" i="3"/>
  <c r="K182" i="3"/>
  <c r="J182" i="3"/>
  <c r="I182" i="3"/>
  <c r="K181" i="3"/>
  <c r="L181" i="3" s="1"/>
  <c r="M181" i="3" s="1"/>
  <c r="N181" i="3" s="1"/>
  <c r="P181" i="3" s="1"/>
  <c r="J181" i="3"/>
  <c r="I181" i="3"/>
  <c r="K180" i="3"/>
  <c r="J180" i="3"/>
  <c r="I180" i="3"/>
  <c r="K179" i="3"/>
  <c r="J179" i="3"/>
  <c r="I179" i="3"/>
  <c r="K178" i="3"/>
  <c r="J178" i="3"/>
  <c r="I178" i="3"/>
  <c r="K177" i="3"/>
  <c r="J177" i="3"/>
  <c r="I177" i="3"/>
  <c r="K176" i="3"/>
  <c r="J176" i="3"/>
  <c r="I176" i="3"/>
  <c r="K175" i="3"/>
  <c r="J175" i="3"/>
  <c r="I175" i="3"/>
  <c r="K174" i="3"/>
  <c r="J174" i="3"/>
  <c r="I174" i="3"/>
  <c r="K173" i="3"/>
  <c r="J173" i="3"/>
  <c r="I173" i="3"/>
  <c r="K172" i="3"/>
  <c r="J172" i="3"/>
  <c r="I172" i="3"/>
  <c r="K171" i="3"/>
  <c r="J171" i="3"/>
  <c r="I171" i="3"/>
  <c r="K170" i="3"/>
  <c r="L170" i="3" s="1"/>
  <c r="M170" i="3" s="1"/>
  <c r="N170" i="3" s="1"/>
  <c r="P170" i="3" s="1"/>
  <c r="J170" i="3"/>
  <c r="I170" i="3"/>
  <c r="K169" i="3"/>
  <c r="J169" i="3"/>
  <c r="I169" i="3"/>
  <c r="K168" i="3"/>
  <c r="J168" i="3"/>
  <c r="I168" i="3"/>
  <c r="K167" i="3"/>
  <c r="L167" i="3" s="1"/>
  <c r="M167" i="3" s="1"/>
  <c r="N167" i="3" s="1"/>
  <c r="P167" i="3" s="1"/>
  <c r="J167" i="3"/>
  <c r="I167" i="3"/>
  <c r="K166" i="3"/>
  <c r="J166" i="3"/>
  <c r="I166" i="3"/>
  <c r="K165" i="3"/>
  <c r="J165" i="3"/>
  <c r="I165" i="3"/>
  <c r="K164" i="3"/>
  <c r="J164" i="3"/>
  <c r="I164" i="3"/>
  <c r="K163" i="3"/>
  <c r="J163" i="3"/>
  <c r="I163" i="3"/>
  <c r="K162" i="3"/>
  <c r="J162" i="3"/>
  <c r="I162" i="3"/>
  <c r="K161" i="3"/>
  <c r="J161" i="3"/>
  <c r="I161" i="3"/>
  <c r="K160" i="3"/>
  <c r="J160" i="3"/>
  <c r="I160" i="3"/>
  <c r="K159" i="3"/>
  <c r="J159" i="3"/>
  <c r="I159" i="3"/>
  <c r="K158" i="3"/>
  <c r="J158" i="3"/>
  <c r="I158" i="3"/>
  <c r="K157" i="3"/>
  <c r="L157" i="3" s="1"/>
  <c r="M157" i="3" s="1"/>
  <c r="N157" i="3" s="1"/>
  <c r="P157" i="3" s="1"/>
  <c r="J157" i="3"/>
  <c r="I157" i="3"/>
  <c r="K156" i="3"/>
  <c r="L156" i="3" s="1"/>
  <c r="M156" i="3" s="1"/>
  <c r="N156" i="3" s="1"/>
  <c r="P156" i="3" s="1"/>
  <c r="J156" i="3"/>
  <c r="I156" i="3"/>
  <c r="K155" i="3"/>
  <c r="J155" i="3"/>
  <c r="I155" i="3"/>
  <c r="K154" i="3"/>
  <c r="J154" i="3"/>
  <c r="I154" i="3"/>
  <c r="K153" i="3"/>
  <c r="J153" i="3"/>
  <c r="I153" i="3"/>
  <c r="K152" i="3"/>
  <c r="J152" i="3"/>
  <c r="I152" i="3"/>
  <c r="K151" i="3"/>
  <c r="J151" i="3"/>
  <c r="I151" i="3"/>
  <c r="K150" i="3"/>
  <c r="J150" i="3"/>
  <c r="I150" i="3"/>
  <c r="K149" i="3"/>
  <c r="J149" i="3"/>
  <c r="I149" i="3"/>
  <c r="K148" i="3"/>
  <c r="J148" i="3"/>
  <c r="I148" i="3"/>
  <c r="K147" i="3"/>
  <c r="J147" i="3"/>
  <c r="I147" i="3"/>
  <c r="K146" i="3"/>
  <c r="J146" i="3"/>
  <c r="I146" i="3"/>
  <c r="K145" i="3"/>
  <c r="L145" i="3" s="1"/>
  <c r="M145" i="3" s="1"/>
  <c r="N145" i="3" s="1"/>
  <c r="P145" i="3" s="1"/>
  <c r="J145" i="3"/>
  <c r="I145" i="3"/>
  <c r="K144" i="3"/>
  <c r="J144" i="3"/>
  <c r="I144" i="3"/>
  <c r="K143" i="3"/>
  <c r="J143" i="3"/>
  <c r="I143" i="3"/>
  <c r="K142" i="3"/>
  <c r="J142" i="3"/>
  <c r="I142" i="3"/>
  <c r="K141" i="3"/>
  <c r="J141" i="3"/>
  <c r="I141" i="3"/>
  <c r="K140" i="3"/>
  <c r="J140" i="3"/>
  <c r="I140" i="3"/>
  <c r="K139" i="3"/>
  <c r="J139" i="3"/>
  <c r="I139" i="3"/>
  <c r="K138" i="3"/>
  <c r="L138" i="3" s="1"/>
  <c r="M138" i="3" s="1"/>
  <c r="N138" i="3" s="1"/>
  <c r="J138" i="3"/>
  <c r="I138" i="3"/>
  <c r="K137" i="3"/>
  <c r="J137" i="3"/>
  <c r="I137" i="3"/>
  <c r="K136" i="3"/>
  <c r="L136" i="3" s="1"/>
  <c r="M136" i="3" s="1"/>
  <c r="N136" i="3" s="1"/>
  <c r="P136" i="3" s="1"/>
  <c r="J136" i="3"/>
  <c r="I136" i="3"/>
  <c r="K135" i="3"/>
  <c r="J135" i="3"/>
  <c r="I135" i="3"/>
  <c r="K134" i="3"/>
  <c r="J134" i="3"/>
  <c r="I134" i="3"/>
  <c r="K133" i="3"/>
  <c r="L133" i="3" s="1"/>
  <c r="M133" i="3" s="1"/>
  <c r="N133" i="3" s="1"/>
  <c r="P133" i="3" s="1"/>
  <c r="J133" i="3"/>
  <c r="I133" i="3"/>
  <c r="K132" i="3"/>
  <c r="J132" i="3"/>
  <c r="I132" i="3"/>
  <c r="K131" i="3"/>
  <c r="J131" i="3"/>
  <c r="I131" i="3"/>
  <c r="K130" i="3"/>
  <c r="J130" i="3"/>
  <c r="I130" i="3"/>
  <c r="K129" i="3"/>
  <c r="J129" i="3"/>
  <c r="I129" i="3"/>
  <c r="K128" i="3"/>
  <c r="L128" i="3" s="1"/>
  <c r="M128" i="3" s="1"/>
  <c r="N128" i="3" s="1"/>
  <c r="P128" i="3" s="1"/>
  <c r="J128" i="3"/>
  <c r="I128" i="3"/>
  <c r="K127" i="3"/>
  <c r="L127" i="3" s="1"/>
  <c r="M127" i="3" s="1"/>
  <c r="N127" i="3" s="1"/>
  <c r="P127" i="3" s="1"/>
  <c r="J127" i="3"/>
  <c r="I127" i="3"/>
  <c r="K126" i="3"/>
  <c r="J126" i="3"/>
  <c r="I126" i="3"/>
  <c r="K125" i="3"/>
  <c r="J125" i="3"/>
  <c r="I125" i="3"/>
  <c r="K124" i="3"/>
  <c r="J124" i="3"/>
  <c r="I124" i="3"/>
  <c r="K123" i="3"/>
  <c r="L123" i="3" s="1"/>
  <c r="M123" i="3" s="1"/>
  <c r="N123" i="3" s="1"/>
  <c r="P123" i="3" s="1"/>
  <c r="J123" i="3"/>
  <c r="I123" i="3"/>
  <c r="K122" i="3"/>
  <c r="J122" i="3"/>
  <c r="I122" i="3"/>
  <c r="K121" i="3"/>
  <c r="J121" i="3"/>
  <c r="I121" i="3"/>
  <c r="K120" i="3"/>
  <c r="J120" i="3"/>
  <c r="I120" i="3"/>
  <c r="K119" i="3"/>
  <c r="J119" i="3"/>
  <c r="I119" i="3"/>
  <c r="K118" i="3"/>
  <c r="J118" i="3"/>
  <c r="I118" i="3"/>
  <c r="K117" i="3"/>
  <c r="J117" i="3"/>
  <c r="I117" i="3"/>
  <c r="K116" i="3"/>
  <c r="J116" i="3"/>
  <c r="I116" i="3"/>
  <c r="K115" i="3"/>
  <c r="L115" i="3" s="1"/>
  <c r="M115" i="3" s="1"/>
  <c r="N115" i="3" s="1"/>
  <c r="P115" i="3" s="1"/>
  <c r="J115" i="3"/>
  <c r="I115" i="3"/>
  <c r="K114" i="3"/>
  <c r="J114" i="3"/>
  <c r="I114" i="3"/>
  <c r="K113" i="3"/>
  <c r="J113" i="3"/>
  <c r="I113" i="3"/>
  <c r="K112" i="3"/>
  <c r="J112" i="3"/>
  <c r="I112" i="3"/>
  <c r="K111" i="3"/>
  <c r="J111" i="3"/>
  <c r="I111" i="3"/>
  <c r="K110" i="3"/>
  <c r="J110" i="3"/>
  <c r="I110" i="3"/>
  <c r="K109" i="3"/>
  <c r="J109" i="3"/>
  <c r="I109" i="3"/>
  <c r="K108" i="3"/>
  <c r="L108" i="3" s="1"/>
  <c r="M108" i="3" s="1"/>
  <c r="N108" i="3" s="1"/>
  <c r="P108" i="3" s="1"/>
  <c r="J108" i="3"/>
  <c r="I108" i="3"/>
  <c r="K107" i="3"/>
  <c r="L107" i="3" s="1"/>
  <c r="M107" i="3" s="1"/>
  <c r="N107" i="3" s="1"/>
  <c r="P107" i="3" s="1"/>
  <c r="J107" i="3"/>
  <c r="I107" i="3"/>
  <c r="K106" i="3"/>
  <c r="L106" i="3" s="1"/>
  <c r="M106" i="3" s="1"/>
  <c r="N106" i="3" s="1"/>
  <c r="P106" i="3" s="1"/>
  <c r="J106" i="3"/>
  <c r="I106" i="3"/>
  <c r="K105" i="3"/>
  <c r="J105" i="3"/>
  <c r="I105" i="3"/>
  <c r="K104" i="3"/>
  <c r="J104" i="3"/>
  <c r="I104" i="3"/>
  <c r="K103" i="3"/>
  <c r="J103" i="3"/>
  <c r="I103" i="3"/>
  <c r="K102" i="3"/>
  <c r="J102" i="3"/>
  <c r="I102" i="3"/>
  <c r="K101" i="3"/>
  <c r="J101" i="3"/>
  <c r="I101" i="3"/>
  <c r="K99" i="3"/>
  <c r="J99" i="3"/>
  <c r="I99" i="3"/>
  <c r="K98" i="3"/>
  <c r="J98" i="3"/>
  <c r="I98" i="3"/>
  <c r="K97" i="3"/>
  <c r="J97" i="3"/>
  <c r="I97" i="3"/>
  <c r="K96" i="3"/>
  <c r="J96" i="3"/>
  <c r="I96" i="3"/>
  <c r="K95" i="3"/>
  <c r="L95" i="3" s="1"/>
  <c r="M95" i="3" s="1"/>
  <c r="N95" i="3" s="1"/>
  <c r="P95" i="3" s="1"/>
  <c r="J95" i="3"/>
  <c r="I95" i="3"/>
  <c r="K94" i="3"/>
  <c r="L94" i="3" s="1"/>
  <c r="M94" i="3" s="1"/>
  <c r="N94" i="3" s="1"/>
  <c r="P94" i="3" s="1"/>
  <c r="J94" i="3"/>
  <c r="I94" i="3"/>
  <c r="K93" i="3"/>
  <c r="J93" i="3"/>
  <c r="I93" i="3"/>
  <c r="K92" i="3"/>
  <c r="L92" i="3" s="1"/>
  <c r="M92" i="3" s="1"/>
  <c r="N92" i="3" s="1"/>
  <c r="P92" i="3" s="1"/>
  <c r="J92" i="3"/>
  <c r="I92" i="3"/>
  <c r="K91" i="3"/>
  <c r="L91" i="3" s="1"/>
  <c r="M91" i="3" s="1"/>
  <c r="N91" i="3" s="1"/>
  <c r="P91" i="3" s="1"/>
  <c r="J91" i="3"/>
  <c r="I91" i="3"/>
  <c r="K90" i="3"/>
  <c r="J90" i="3"/>
  <c r="I90" i="3"/>
  <c r="K89" i="3"/>
  <c r="J89" i="3"/>
  <c r="I89" i="3"/>
  <c r="K88" i="3"/>
  <c r="J88" i="3"/>
  <c r="I88" i="3"/>
  <c r="K87" i="3"/>
  <c r="J87" i="3"/>
  <c r="I87" i="3"/>
  <c r="K86" i="3"/>
  <c r="J86" i="3"/>
  <c r="I86" i="3"/>
  <c r="K85" i="3"/>
  <c r="J85" i="3"/>
  <c r="I85" i="3"/>
  <c r="K84" i="3"/>
  <c r="L84" i="3" s="1"/>
  <c r="M84" i="3" s="1"/>
  <c r="N84" i="3" s="1"/>
  <c r="P84" i="3" s="1"/>
  <c r="J84" i="3"/>
  <c r="I84" i="3"/>
  <c r="K83" i="3"/>
  <c r="J83" i="3"/>
  <c r="I83" i="3"/>
  <c r="K82" i="3"/>
  <c r="J82" i="3"/>
  <c r="I82" i="3"/>
  <c r="K81" i="3"/>
  <c r="L81" i="3" s="1"/>
  <c r="M81" i="3" s="1"/>
  <c r="N81" i="3" s="1"/>
  <c r="P81" i="3" s="1"/>
  <c r="J81" i="3"/>
  <c r="I81" i="3"/>
  <c r="K80" i="3"/>
  <c r="J80" i="3"/>
  <c r="I80" i="3"/>
  <c r="K79" i="3"/>
  <c r="L79" i="3" s="1"/>
  <c r="M79" i="3" s="1"/>
  <c r="N79" i="3" s="1"/>
  <c r="P79" i="3" s="1"/>
  <c r="J79" i="3"/>
  <c r="I79" i="3"/>
  <c r="K78" i="3"/>
  <c r="J78" i="3"/>
  <c r="I78" i="3"/>
  <c r="K77" i="3"/>
  <c r="J77" i="3"/>
  <c r="I77" i="3"/>
  <c r="K75" i="3"/>
  <c r="J75" i="3"/>
  <c r="I75" i="3"/>
  <c r="K74" i="3"/>
  <c r="J74" i="3"/>
  <c r="I74" i="3"/>
  <c r="K73" i="3"/>
  <c r="J73" i="3"/>
  <c r="I73" i="3"/>
  <c r="K72" i="3"/>
  <c r="J72" i="3"/>
  <c r="I72" i="3"/>
  <c r="K71" i="3"/>
  <c r="J71" i="3"/>
  <c r="I71" i="3"/>
  <c r="K70" i="3"/>
  <c r="J70" i="3"/>
  <c r="I70" i="3"/>
  <c r="K69" i="3"/>
  <c r="J69" i="3"/>
  <c r="I69" i="3"/>
  <c r="K68" i="3"/>
  <c r="J68" i="3"/>
  <c r="I68" i="3"/>
  <c r="K67" i="3"/>
  <c r="J67" i="3"/>
  <c r="I67" i="3"/>
  <c r="K66" i="3"/>
  <c r="J66" i="3"/>
  <c r="I66" i="3"/>
  <c r="K65" i="3"/>
  <c r="J65" i="3"/>
  <c r="I65" i="3"/>
  <c r="K64" i="3"/>
  <c r="J64" i="3"/>
  <c r="I64" i="3"/>
  <c r="K63" i="3"/>
  <c r="J63" i="3"/>
  <c r="I63" i="3"/>
  <c r="K62" i="3"/>
  <c r="J62" i="3"/>
  <c r="I62" i="3"/>
  <c r="K61" i="3"/>
  <c r="J61" i="3"/>
  <c r="I61" i="3"/>
  <c r="K60" i="3"/>
  <c r="J60" i="3"/>
  <c r="I60" i="3"/>
  <c r="K58" i="3"/>
  <c r="J58" i="3"/>
  <c r="I58" i="3"/>
  <c r="K57" i="3"/>
  <c r="J57" i="3"/>
  <c r="I57" i="3"/>
  <c r="K56" i="3"/>
  <c r="J56" i="3"/>
  <c r="I56" i="3"/>
  <c r="K55" i="3"/>
  <c r="J55" i="3"/>
  <c r="I55" i="3"/>
  <c r="K54" i="3"/>
  <c r="J54" i="3"/>
  <c r="I54" i="3"/>
  <c r="K53" i="3"/>
  <c r="J53" i="3"/>
  <c r="I53" i="3"/>
  <c r="K52" i="3"/>
  <c r="J52" i="3"/>
  <c r="I52" i="3"/>
  <c r="K51" i="3"/>
  <c r="J51" i="3"/>
  <c r="I51" i="3"/>
  <c r="K50" i="3"/>
  <c r="J50" i="3"/>
  <c r="I50" i="3"/>
  <c r="K49" i="3"/>
  <c r="J49" i="3"/>
  <c r="I49" i="3"/>
  <c r="K48" i="3"/>
  <c r="J48" i="3"/>
  <c r="I48" i="3"/>
  <c r="K47" i="3"/>
  <c r="J47" i="3"/>
  <c r="I47" i="3"/>
  <c r="K45" i="3"/>
  <c r="J45" i="3"/>
  <c r="I45" i="3"/>
  <c r="K44" i="3"/>
  <c r="J44" i="3"/>
  <c r="I44" i="3"/>
  <c r="K43" i="3"/>
  <c r="J43" i="3"/>
  <c r="I43" i="3"/>
  <c r="K42" i="3"/>
  <c r="J42" i="3"/>
  <c r="I42" i="3"/>
  <c r="K41" i="3"/>
  <c r="J41" i="3"/>
  <c r="I41" i="3"/>
  <c r="K40" i="3"/>
  <c r="J40" i="3"/>
  <c r="I40" i="3"/>
  <c r="K39" i="3"/>
  <c r="J39" i="3"/>
  <c r="I39" i="3"/>
  <c r="K38" i="3"/>
  <c r="J38" i="3"/>
  <c r="I38" i="3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K32" i="3"/>
  <c r="J32" i="3"/>
  <c r="I32" i="3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H194" i="3"/>
  <c r="H193" i="3"/>
  <c r="L192" i="3"/>
  <c r="M192" i="3" s="1"/>
  <c r="N192" i="3" s="1"/>
  <c r="P192" i="3" s="1"/>
  <c r="H192" i="3"/>
  <c r="L191" i="3"/>
  <c r="M191" i="3" s="1"/>
  <c r="N191" i="3" s="1"/>
  <c r="P191" i="3" s="1"/>
  <c r="H191" i="3"/>
  <c r="L190" i="3"/>
  <c r="M190" i="3" s="1"/>
  <c r="N190" i="3" s="1"/>
  <c r="P190" i="3" s="1"/>
  <c r="H190" i="3"/>
  <c r="H189" i="3"/>
  <c r="H188" i="3"/>
  <c r="P187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L162" i="3"/>
  <c r="M162" i="3" s="1"/>
  <c r="N162" i="3" s="1"/>
  <c r="P162" i="3" s="1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L142" i="3"/>
  <c r="M142" i="3" s="1"/>
  <c r="N142" i="3" s="1"/>
  <c r="P142" i="3" s="1"/>
  <c r="H142" i="3"/>
  <c r="L141" i="3"/>
  <c r="M141" i="3" s="1"/>
  <c r="N141" i="3" s="1"/>
  <c r="P141" i="3" s="1"/>
  <c r="H141" i="3"/>
  <c r="H140" i="3"/>
  <c r="H139" i="3"/>
  <c r="P138" i="3"/>
  <c r="H138" i="3"/>
  <c r="L137" i="3"/>
  <c r="M137" i="3" s="1"/>
  <c r="N137" i="3" s="1"/>
  <c r="P137" i="3" s="1"/>
  <c r="H137" i="3"/>
  <c r="H136" i="3"/>
  <c r="H135" i="3"/>
  <c r="H134" i="3"/>
  <c r="H133" i="3"/>
  <c r="H132" i="3"/>
  <c r="H131" i="3"/>
  <c r="H130" i="3"/>
  <c r="H129" i="3"/>
  <c r="H128" i="3"/>
  <c r="H127" i="3"/>
  <c r="L126" i="3"/>
  <c r="M126" i="3" s="1"/>
  <c r="N126" i="3" s="1"/>
  <c r="P126" i="3" s="1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L104" i="3"/>
  <c r="M104" i="3" s="1"/>
  <c r="N104" i="3" s="1"/>
  <c r="P104" i="3" s="1"/>
  <c r="H104" i="3"/>
  <c r="L103" i="3"/>
  <c r="M103" i="3" s="1"/>
  <c r="N103" i="3" s="1"/>
  <c r="P103" i="3" s="1"/>
  <c r="H103" i="3"/>
  <c r="H102" i="3"/>
  <c r="H101" i="3"/>
  <c r="L99" i="3"/>
  <c r="M99" i="3" s="1"/>
  <c r="N99" i="3" s="1"/>
  <c r="P99" i="3" s="1"/>
  <c r="H99" i="3"/>
  <c r="H98" i="3"/>
  <c r="L97" i="3"/>
  <c r="M97" i="3" s="1"/>
  <c r="N97" i="3" s="1"/>
  <c r="P97" i="3" s="1"/>
  <c r="H97" i="3"/>
  <c r="H96" i="3"/>
  <c r="H95" i="3"/>
  <c r="H94" i="3"/>
  <c r="H93" i="3"/>
  <c r="H92" i="3"/>
  <c r="H91" i="3"/>
  <c r="H90" i="3"/>
  <c r="L89" i="3"/>
  <c r="M89" i="3" s="1"/>
  <c r="N89" i="3" s="1"/>
  <c r="P89" i="3" s="1"/>
  <c r="H89" i="3"/>
  <c r="H88" i="3"/>
  <c r="L87" i="3"/>
  <c r="M87" i="3" s="1"/>
  <c r="N87" i="3" s="1"/>
  <c r="P87" i="3" s="1"/>
  <c r="H87" i="3"/>
  <c r="P86" i="3"/>
  <c r="H86" i="3"/>
  <c r="H85" i="3"/>
  <c r="H84" i="3"/>
  <c r="H83" i="3"/>
  <c r="H82" i="3"/>
  <c r="H81" i="3"/>
  <c r="H80" i="3"/>
  <c r="H79" i="3"/>
  <c r="H78" i="3"/>
  <c r="H77" i="3"/>
  <c r="H59" i="3"/>
  <c r="P75" i="3"/>
  <c r="L75" i="3"/>
  <c r="M75" i="3" s="1"/>
  <c r="N75" i="3" s="1"/>
  <c r="H75" i="3"/>
  <c r="H74" i="3"/>
  <c r="H73" i="3"/>
  <c r="H72" i="3"/>
  <c r="H71" i="3"/>
  <c r="P70" i="3"/>
  <c r="H70" i="3"/>
  <c r="H69" i="3"/>
  <c r="H68" i="3"/>
  <c r="H67" i="3"/>
  <c r="H66" i="3"/>
  <c r="H65" i="3"/>
  <c r="H64" i="3"/>
  <c r="H63" i="3"/>
  <c r="H62" i="3"/>
  <c r="H61" i="3"/>
  <c r="H60" i="3"/>
  <c r="P58" i="3"/>
  <c r="H58" i="3"/>
  <c r="P57" i="3"/>
  <c r="H57" i="3"/>
  <c r="H56" i="3"/>
  <c r="H55" i="3"/>
  <c r="H54" i="3"/>
  <c r="H53" i="3"/>
  <c r="H52" i="3"/>
  <c r="H51" i="3"/>
  <c r="H50" i="3"/>
  <c r="H49" i="3"/>
  <c r="H48" i="3"/>
  <c r="H47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J36" i="10"/>
  <c r="H36" i="10"/>
  <c r="J35" i="10"/>
  <c r="H35" i="10"/>
  <c r="J34" i="10"/>
  <c r="H34" i="10"/>
  <c r="J33" i="10"/>
  <c r="H33" i="10"/>
  <c r="J32" i="10"/>
  <c r="H32" i="10"/>
  <c r="J31" i="10"/>
  <c r="H31" i="10"/>
  <c r="J30" i="10"/>
  <c r="H30" i="10"/>
  <c r="J29" i="10"/>
  <c r="H29" i="10"/>
  <c r="Q72" i="8"/>
  <c r="P72" i="8"/>
  <c r="Q71" i="8"/>
  <c r="P71" i="8"/>
  <c r="Q70" i="8"/>
  <c r="P70" i="8"/>
  <c r="Q69" i="8"/>
  <c r="P69" i="8"/>
  <c r="Q68" i="8"/>
  <c r="P68" i="8"/>
  <c r="Q67" i="8"/>
  <c r="P67" i="8"/>
  <c r="Q66" i="8"/>
  <c r="P66" i="8"/>
  <c r="Q65" i="8"/>
  <c r="P65" i="8"/>
  <c r="Q64" i="8"/>
  <c r="P64" i="8"/>
  <c r="Q63" i="8"/>
  <c r="P63" i="8"/>
  <c r="Q62" i="8"/>
  <c r="P62" i="8"/>
  <c r="Q61" i="8"/>
  <c r="P61" i="8"/>
  <c r="Q60" i="8"/>
  <c r="P60" i="8"/>
  <c r="Q59" i="8"/>
  <c r="P59" i="8"/>
  <c r="Q58" i="8"/>
  <c r="P58" i="8"/>
  <c r="Q57" i="8"/>
  <c r="P57" i="8"/>
  <c r="Q56" i="8"/>
  <c r="P56" i="8"/>
  <c r="Q55" i="8"/>
  <c r="P55" i="8"/>
  <c r="Q54" i="8"/>
  <c r="P54" i="8"/>
  <c r="Q53" i="8"/>
  <c r="P53" i="8"/>
  <c r="Q52" i="8"/>
  <c r="P52" i="8"/>
  <c r="Q51" i="8"/>
  <c r="P51" i="8"/>
  <c r="Q50" i="8"/>
  <c r="P50" i="8"/>
  <c r="Q49" i="8"/>
  <c r="P49" i="8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J27" i="10"/>
  <c r="H27" i="10"/>
  <c r="J26" i="10"/>
  <c r="H26" i="10"/>
  <c r="Q48" i="8"/>
  <c r="P48" i="8"/>
  <c r="Q47" i="8"/>
  <c r="P47" i="8"/>
  <c r="Q46" i="8"/>
  <c r="P46" i="8"/>
  <c r="H43" i="7"/>
  <c r="H42" i="7"/>
  <c r="H41" i="7"/>
  <c r="L180" i="3" l="1"/>
  <c r="M180" i="3" s="1"/>
  <c r="N180" i="3" s="1"/>
  <c r="P180" i="3" s="1"/>
  <c r="L178" i="3"/>
  <c r="M178" i="3" s="1"/>
  <c r="N178" i="3" s="1"/>
  <c r="P178" i="3" s="1"/>
  <c r="L176" i="3"/>
  <c r="M176" i="3" s="1"/>
  <c r="N176" i="3" s="1"/>
  <c r="P176" i="3" s="1"/>
  <c r="L175" i="3"/>
  <c r="M175" i="3" s="1"/>
  <c r="N175" i="3" s="1"/>
  <c r="P175" i="3" s="1"/>
  <c r="L172" i="3"/>
  <c r="M172" i="3" s="1"/>
  <c r="N172" i="3" s="1"/>
  <c r="P172" i="3" s="1"/>
  <c r="L171" i="3"/>
  <c r="M171" i="3" s="1"/>
  <c r="N171" i="3" s="1"/>
  <c r="P171" i="3" s="1"/>
  <c r="L166" i="3"/>
  <c r="M166" i="3" s="1"/>
  <c r="N166" i="3" s="1"/>
  <c r="P166" i="3" s="1"/>
  <c r="L165" i="3"/>
  <c r="M165" i="3" s="1"/>
  <c r="N165" i="3" s="1"/>
  <c r="P165" i="3" s="1"/>
  <c r="L161" i="3"/>
  <c r="M161" i="3" s="1"/>
  <c r="N161" i="3" s="1"/>
  <c r="P161" i="3" s="1"/>
  <c r="L155" i="3"/>
  <c r="M155" i="3" s="1"/>
  <c r="N155" i="3" s="1"/>
  <c r="P155" i="3" s="1"/>
  <c r="L151" i="3"/>
  <c r="M151" i="3" s="1"/>
  <c r="N151" i="3" s="1"/>
  <c r="P151" i="3" s="1"/>
  <c r="L150" i="3"/>
  <c r="M150" i="3" s="1"/>
  <c r="N150" i="3" s="1"/>
  <c r="P150" i="3" s="1"/>
  <c r="L147" i="3"/>
  <c r="M147" i="3" s="1"/>
  <c r="N147" i="3" s="1"/>
  <c r="P147" i="3" s="1"/>
  <c r="L146" i="3"/>
  <c r="M146" i="3" s="1"/>
  <c r="N146" i="3" s="1"/>
  <c r="P146" i="3" s="1"/>
  <c r="L143" i="3"/>
  <c r="M143" i="3" s="1"/>
  <c r="N143" i="3" s="1"/>
  <c r="P143" i="3" s="1"/>
  <c r="L122" i="3"/>
  <c r="M122" i="3" s="1"/>
  <c r="N122" i="3" s="1"/>
  <c r="P122" i="3" s="1"/>
  <c r="L118" i="3"/>
  <c r="M118" i="3" s="1"/>
  <c r="N118" i="3" s="1"/>
  <c r="P118" i="3" s="1"/>
  <c r="L116" i="3"/>
  <c r="M116" i="3" s="1"/>
  <c r="N116" i="3" s="1"/>
  <c r="P116" i="3" s="1"/>
  <c r="L113" i="3"/>
  <c r="M113" i="3" s="1"/>
  <c r="N113" i="3" s="1"/>
  <c r="P113" i="3" s="1"/>
  <c r="L112" i="3"/>
  <c r="M112" i="3" s="1"/>
  <c r="N112" i="3" s="1"/>
  <c r="P112" i="3" s="1"/>
  <c r="L111" i="3"/>
  <c r="M111" i="3" s="1"/>
  <c r="N111" i="3" s="1"/>
  <c r="P111" i="3" s="1"/>
  <c r="L93" i="3"/>
  <c r="M93" i="3" s="1"/>
  <c r="N93" i="3" s="1"/>
  <c r="P93" i="3" s="1"/>
  <c r="L86" i="3"/>
  <c r="M86" i="3" s="1"/>
  <c r="N86" i="3" s="1"/>
  <c r="L85" i="3"/>
  <c r="M85" i="3" s="1"/>
  <c r="N85" i="3" s="1"/>
  <c r="P85" i="3" s="1"/>
  <c r="L82" i="3"/>
  <c r="M82" i="3" s="1"/>
  <c r="N82" i="3" s="1"/>
  <c r="P82" i="3" s="1"/>
  <c r="L77" i="3"/>
  <c r="M77" i="3" s="1"/>
  <c r="N77" i="3" s="1"/>
  <c r="P77" i="3" s="1"/>
  <c r="L90" i="3"/>
  <c r="M90" i="3" s="1"/>
  <c r="N90" i="3" s="1"/>
  <c r="P90" i="3" s="1"/>
  <c r="L98" i="3"/>
  <c r="M98" i="3" s="1"/>
  <c r="N98" i="3" s="1"/>
  <c r="P98" i="3" s="1"/>
  <c r="L114" i="3"/>
  <c r="M114" i="3" s="1"/>
  <c r="N114" i="3" s="1"/>
  <c r="P114" i="3" s="1"/>
  <c r="L121" i="3"/>
  <c r="M121" i="3" s="1"/>
  <c r="N121" i="3" s="1"/>
  <c r="P121" i="3" s="1"/>
  <c r="L130" i="3"/>
  <c r="M130" i="3" s="1"/>
  <c r="N130" i="3" s="1"/>
  <c r="P130" i="3" s="1"/>
  <c r="L154" i="3"/>
  <c r="M154" i="3" s="1"/>
  <c r="N154" i="3" s="1"/>
  <c r="P154" i="3" s="1"/>
  <c r="L183" i="3"/>
  <c r="M183" i="3" s="1"/>
  <c r="N183" i="3" s="1"/>
  <c r="P183" i="3" s="1"/>
  <c r="L132" i="3"/>
  <c r="M132" i="3" s="1"/>
  <c r="N132" i="3" s="1"/>
  <c r="P132" i="3" s="1"/>
  <c r="L158" i="3"/>
  <c r="M158" i="3" s="1"/>
  <c r="N158" i="3" s="1"/>
  <c r="P158" i="3" s="1"/>
  <c r="L101" i="3"/>
  <c r="M101" i="3" s="1"/>
  <c r="N101" i="3" s="1"/>
  <c r="P101" i="3" s="1"/>
  <c r="L109" i="3"/>
  <c r="M109" i="3" s="1"/>
  <c r="N109" i="3" s="1"/>
  <c r="P109" i="3" s="1"/>
  <c r="L125" i="3"/>
  <c r="M125" i="3" s="1"/>
  <c r="N125" i="3" s="1"/>
  <c r="P125" i="3" s="1"/>
  <c r="L134" i="3"/>
  <c r="M134" i="3" s="1"/>
  <c r="N134" i="3" s="1"/>
  <c r="P134" i="3" s="1"/>
  <c r="L144" i="3"/>
  <c r="M144" i="3" s="1"/>
  <c r="N144" i="3" s="1"/>
  <c r="P144" i="3" s="1"/>
  <c r="L152" i="3"/>
  <c r="M152" i="3" s="1"/>
  <c r="N152" i="3" s="1"/>
  <c r="P152" i="3" s="1"/>
  <c r="L140" i="3"/>
  <c r="M140" i="3" s="1"/>
  <c r="N140" i="3" s="1"/>
  <c r="P140" i="3" s="1"/>
  <c r="L148" i="3"/>
  <c r="M148" i="3" s="1"/>
  <c r="N148" i="3" s="1"/>
  <c r="P148" i="3" s="1"/>
  <c r="L187" i="3"/>
  <c r="M187" i="3" s="1"/>
  <c r="N187" i="3" s="1"/>
  <c r="L53" i="3"/>
  <c r="L120" i="3"/>
  <c r="M120" i="3" s="1"/>
  <c r="N120" i="3" s="1"/>
  <c r="P120" i="3" s="1"/>
  <c r="L129" i="3"/>
  <c r="M129" i="3" s="1"/>
  <c r="N129" i="3" s="1"/>
  <c r="P129" i="3" s="1"/>
  <c r="L159" i="3"/>
  <c r="M159" i="3" s="1"/>
  <c r="N159" i="3" s="1"/>
  <c r="P159" i="3" s="1"/>
  <c r="L163" i="3"/>
  <c r="M163" i="3" s="1"/>
  <c r="N163" i="3" s="1"/>
  <c r="P163" i="3" s="1"/>
  <c r="L177" i="3"/>
  <c r="M177" i="3" s="1"/>
  <c r="N177" i="3" s="1"/>
  <c r="P177" i="3" s="1"/>
  <c r="L193" i="3"/>
  <c r="M193" i="3" s="1"/>
  <c r="N193" i="3" s="1"/>
  <c r="P193" i="3" s="1"/>
  <c r="L124" i="3"/>
  <c r="M124" i="3" s="1"/>
  <c r="N124" i="3" s="1"/>
  <c r="P124" i="3" s="1"/>
  <c r="L131" i="3"/>
  <c r="M131" i="3" s="1"/>
  <c r="N131" i="3" s="1"/>
  <c r="P131" i="3" s="1"/>
  <c r="L164" i="3"/>
  <c r="M164" i="3" s="1"/>
  <c r="N164" i="3" s="1"/>
  <c r="P164" i="3" s="1"/>
  <c r="L168" i="3"/>
  <c r="M168" i="3" s="1"/>
  <c r="N168" i="3" s="1"/>
  <c r="P168" i="3" s="1"/>
  <c r="L182" i="3"/>
  <c r="M182" i="3" s="1"/>
  <c r="N182" i="3" s="1"/>
  <c r="P182" i="3" s="1"/>
  <c r="L57" i="3"/>
  <c r="L83" i="3"/>
  <c r="M83" i="3" s="1"/>
  <c r="N83" i="3" s="1"/>
  <c r="P83" i="3" s="1"/>
  <c r="L96" i="3"/>
  <c r="M96" i="3" s="1"/>
  <c r="N96" i="3" s="1"/>
  <c r="P96" i="3" s="1"/>
  <c r="L105" i="3"/>
  <c r="M105" i="3" s="1"/>
  <c r="N105" i="3" s="1"/>
  <c r="P105" i="3" s="1"/>
  <c r="L117" i="3"/>
  <c r="M117" i="3" s="1"/>
  <c r="N117" i="3" s="1"/>
  <c r="P117" i="3" s="1"/>
  <c r="L153" i="3"/>
  <c r="M153" i="3" s="1"/>
  <c r="N153" i="3" s="1"/>
  <c r="P153" i="3" s="1"/>
  <c r="L194" i="3"/>
  <c r="M194" i="3" s="1"/>
  <c r="N194" i="3" s="1"/>
  <c r="P194" i="3" s="1"/>
  <c r="L78" i="3"/>
  <c r="M78" i="3" s="1"/>
  <c r="N78" i="3" s="1"/>
  <c r="P78" i="3" s="1"/>
  <c r="L41" i="3"/>
  <c r="M41" i="3" s="1"/>
  <c r="N41" i="3" s="1"/>
  <c r="P41" i="3" s="1"/>
  <c r="L80" i="3"/>
  <c r="M80" i="3" s="1"/>
  <c r="N80" i="3" s="1"/>
  <c r="P80" i="3" s="1"/>
  <c r="L88" i="3"/>
  <c r="M88" i="3" s="1"/>
  <c r="N88" i="3" s="1"/>
  <c r="P88" i="3" s="1"/>
  <c r="L102" i="3"/>
  <c r="M102" i="3" s="1"/>
  <c r="N102" i="3" s="1"/>
  <c r="P102" i="3" s="1"/>
  <c r="L110" i="3"/>
  <c r="M110" i="3" s="1"/>
  <c r="N110" i="3" s="1"/>
  <c r="P110" i="3" s="1"/>
  <c r="L135" i="3"/>
  <c r="M135" i="3" s="1"/>
  <c r="N135" i="3" s="1"/>
  <c r="P135" i="3" s="1"/>
  <c r="L139" i="3"/>
  <c r="M139" i="3" s="1"/>
  <c r="N139" i="3" s="1"/>
  <c r="P139" i="3" s="1"/>
  <c r="L160" i="3"/>
  <c r="M160" i="3" s="1"/>
  <c r="N160" i="3" s="1"/>
  <c r="P160" i="3" s="1"/>
  <c r="L169" i="3"/>
  <c r="M169" i="3" s="1"/>
  <c r="N169" i="3" s="1"/>
  <c r="P169" i="3" s="1"/>
  <c r="L173" i="3"/>
  <c r="M173" i="3" s="1"/>
  <c r="N173" i="3" s="1"/>
  <c r="P173" i="3" s="1"/>
  <c r="L188" i="3"/>
  <c r="M188" i="3" s="1"/>
  <c r="N188" i="3" s="1"/>
  <c r="P188" i="3" s="1"/>
  <c r="L23" i="3"/>
  <c r="M23" i="3" s="1"/>
  <c r="N23" i="3" s="1"/>
  <c r="P23" i="3" s="1"/>
  <c r="L25" i="3"/>
  <c r="M25" i="3" s="1"/>
  <c r="N25" i="3" s="1"/>
  <c r="P25" i="3" s="1"/>
  <c r="L47" i="3"/>
  <c r="L67" i="3"/>
  <c r="M67" i="3" s="1"/>
  <c r="N67" i="3" s="1"/>
  <c r="P67" i="3" s="1"/>
  <c r="L64" i="3"/>
  <c r="L68" i="3"/>
  <c r="M68" i="3" s="1"/>
  <c r="N68" i="3" s="1"/>
  <c r="P68" i="3" s="1"/>
  <c r="L40" i="3"/>
  <c r="L74" i="3"/>
  <c r="L18" i="3"/>
  <c r="L65" i="3"/>
  <c r="M65" i="3" s="1"/>
  <c r="N65" i="3" s="1"/>
  <c r="P65" i="3" s="1"/>
  <c r="L70" i="3"/>
  <c r="M70" i="3" s="1"/>
  <c r="N70" i="3" s="1"/>
  <c r="L34" i="3"/>
  <c r="M34" i="3" s="1"/>
  <c r="N34" i="3" s="1"/>
  <c r="P34" i="3" s="1"/>
  <c r="L15" i="3"/>
  <c r="L22" i="3"/>
  <c r="M22" i="3" s="1"/>
  <c r="N22" i="3" s="1"/>
  <c r="P22" i="3" s="1"/>
  <c r="L38" i="3"/>
  <c r="M38" i="3" s="1"/>
  <c r="N38" i="3" s="1"/>
  <c r="P38" i="3" s="1"/>
  <c r="L42" i="3"/>
  <c r="M42" i="3" s="1"/>
  <c r="N42" i="3" s="1"/>
  <c r="P42" i="3" s="1"/>
  <c r="L50" i="3"/>
  <c r="M50" i="3" s="1"/>
  <c r="N50" i="3" s="1"/>
  <c r="P50" i="3" s="1"/>
  <c r="L56" i="3"/>
  <c r="M56" i="3" s="1"/>
  <c r="N56" i="3" s="1"/>
  <c r="P56" i="3" s="1"/>
  <c r="L61" i="3"/>
  <c r="M61" i="3" s="1"/>
  <c r="N61" i="3" s="1"/>
  <c r="P61" i="3" s="1"/>
  <c r="L30" i="3"/>
  <c r="M30" i="3" s="1"/>
  <c r="N30" i="3" s="1"/>
  <c r="P30" i="3" s="1"/>
  <c r="L58" i="3"/>
  <c r="M58" i="3" s="1"/>
  <c r="N58" i="3" s="1"/>
  <c r="L52" i="3"/>
  <c r="L29" i="3"/>
  <c r="L71" i="3"/>
  <c r="M71" i="3" s="1"/>
  <c r="N71" i="3" s="1"/>
  <c r="P71" i="3" s="1"/>
  <c r="L60" i="3"/>
  <c r="M60" i="3" s="1"/>
  <c r="N60" i="3" s="1"/>
  <c r="P60" i="3" s="1"/>
  <c r="L63" i="3"/>
  <c r="M63" i="3" s="1"/>
  <c r="N63" i="3" s="1"/>
  <c r="P63" i="3" s="1"/>
  <c r="L66" i="3"/>
  <c r="M66" i="3" s="1"/>
  <c r="N66" i="3" s="1"/>
  <c r="P66" i="3" s="1"/>
  <c r="L73" i="3"/>
  <c r="M73" i="3" s="1"/>
  <c r="N73" i="3" s="1"/>
  <c r="P73" i="3" s="1"/>
  <c r="L72" i="3"/>
  <c r="M72" i="3" s="1"/>
  <c r="N72" i="3" s="1"/>
  <c r="P72" i="3" s="1"/>
  <c r="L62" i="3"/>
  <c r="L69" i="3"/>
  <c r="L48" i="3"/>
  <c r="L55" i="3"/>
  <c r="M55" i="3" s="1"/>
  <c r="N55" i="3" s="1"/>
  <c r="P55" i="3" s="1"/>
  <c r="L54" i="3"/>
  <c r="M54" i="3" s="1"/>
  <c r="N54" i="3" s="1"/>
  <c r="P54" i="3" s="1"/>
  <c r="L51" i="3"/>
  <c r="M51" i="3" s="1"/>
  <c r="N51" i="3" s="1"/>
  <c r="P51" i="3" s="1"/>
  <c r="L45" i="3"/>
  <c r="M45" i="3" s="1"/>
  <c r="N45" i="3" s="1"/>
  <c r="P45" i="3" s="1"/>
  <c r="H41" i="5" s="1"/>
  <c r="L43" i="3"/>
  <c r="M43" i="3" s="1"/>
  <c r="N43" i="3" s="1"/>
  <c r="P43" i="3" s="1"/>
  <c r="L35" i="3"/>
  <c r="M35" i="3" s="1"/>
  <c r="N35" i="3" s="1"/>
  <c r="P35" i="3" s="1"/>
  <c r="L33" i="3"/>
  <c r="M33" i="3" s="1"/>
  <c r="N33" i="3" s="1"/>
  <c r="P33" i="3" s="1"/>
  <c r="L28" i="3"/>
  <c r="L24" i="3"/>
  <c r="L20" i="3"/>
  <c r="M20" i="3" s="1"/>
  <c r="N20" i="3" s="1"/>
  <c r="P20" i="3" s="1"/>
  <c r="L19" i="3"/>
  <c r="M19" i="3" s="1"/>
  <c r="N19" i="3" s="1"/>
  <c r="P19" i="3" s="1"/>
  <c r="L39" i="3"/>
  <c r="M39" i="3" s="1"/>
  <c r="N39" i="3" s="1"/>
  <c r="P39" i="3" s="1"/>
  <c r="L44" i="3"/>
  <c r="M44" i="3" s="1"/>
  <c r="N44" i="3" s="1"/>
  <c r="P44" i="3" s="1"/>
  <c r="L36" i="3"/>
  <c r="L32" i="3"/>
  <c r="M32" i="3" s="1"/>
  <c r="N32" i="3" s="1"/>
  <c r="P32" i="3" s="1"/>
  <c r="L37" i="3"/>
  <c r="M37" i="3" s="1"/>
  <c r="N37" i="3" s="1"/>
  <c r="P37" i="3" s="1"/>
  <c r="L31" i="3"/>
  <c r="M31" i="3" s="1"/>
  <c r="N31" i="3" s="1"/>
  <c r="P31" i="3" s="1"/>
  <c r="L16" i="3"/>
  <c r="M16" i="3" s="1"/>
  <c r="N16" i="3" s="1"/>
  <c r="P16" i="3" s="1"/>
  <c r="L26" i="3"/>
  <c r="M26" i="3" s="1"/>
  <c r="N26" i="3" s="1"/>
  <c r="P26" i="3" s="1"/>
  <c r="L17" i="3"/>
  <c r="L27" i="3"/>
  <c r="L21" i="3"/>
  <c r="M21" i="3" s="1"/>
  <c r="N21" i="3" s="1"/>
  <c r="P21" i="3" s="1"/>
  <c r="H52" i="5"/>
  <c r="B52" i="5"/>
  <c r="A52" i="5"/>
  <c r="H51" i="5"/>
  <c r="B51" i="5"/>
  <c r="A51" i="5"/>
  <c r="H50" i="5"/>
  <c r="B50" i="5"/>
  <c r="A50" i="5"/>
  <c r="H49" i="5"/>
  <c r="B49" i="5"/>
  <c r="A49" i="5"/>
  <c r="H48" i="5"/>
  <c r="B48" i="5"/>
  <c r="A48" i="5"/>
  <c r="P205" i="3"/>
  <c r="I8" i="3"/>
  <c r="D8" i="3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J396" i="4"/>
  <c r="G396" i="4"/>
  <c r="J393" i="4"/>
  <c r="G393" i="4"/>
  <c r="J390" i="4"/>
  <c r="G390" i="4"/>
  <c r="J389" i="4"/>
  <c r="G389" i="4"/>
  <c r="J388" i="4"/>
  <c r="G388" i="4"/>
  <c r="J387" i="4"/>
  <c r="G387" i="4"/>
  <c r="J386" i="4"/>
  <c r="G386" i="4"/>
  <c r="J385" i="4"/>
  <c r="G385" i="4"/>
  <c r="J384" i="4"/>
  <c r="G384" i="4"/>
  <c r="J383" i="4"/>
  <c r="G383" i="4"/>
  <c r="J382" i="4"/>
  <c r="G382" i="4"/>
  <c r="J381" i="4"/>
  <c r="G381" i="4"/>
  <c r="J380" i="4"/>
  <c r="G380" i="4"/>
  <c r="J379" i="4"/>
  <c r="G379" i="4"/>
  <c r="J378" i="4"/>
  <c r="G378" i="4"/>
  <c r="J377" i="4"/>
  <c r="G377" i="4"/>
  <c r="J376" i="4"/>
  <c r="G376" i="4"/>
  <c r="J375" i="4"/>
  <c r="G375" i="4"/>
  <c r="J374" i="4"/>
  <c r="G374" i="4"/>
  <c r="J373" i="4"/>
  <c r="G373" i="4"/>
  <c r="J372" i="4"/>
  <c r="G372" i="4"/>
  <c r="J371" i="4"/>
  <c r="G371" i="4"/>
  <c r="J370" i="4"/>
  <c r="G370" i="4"/>
  <c r="J369" i="4"/>
  <c r="G369" i="4"/>
  <c r="J368" i="4"/>
  <c r="G368" i="4"/>
  <c r="J367" i="4"/>
  <c r="G367" i="4"/>
  <c r="J366" i="4"/>
  <c r="G366" i="4"/>
  <c r="J365" i="4"/>
  <c r="G365" i="4"/>
  <c r="J364" i="4"/>
  <c r="G364" i="4"/>
  <c r="J363" i="4"/>
  <c r="G363" i="4"/>
  <c r="J362" i="4"/>
  <c r="G362" i="4"/>
  <c r="J361" i="4"/>
  <c r="G361" i="4"/>
  <c r="J360" i="4"/>
  <c r="G360" i="4"/>
  <c r="J359" i="4"/>
  <c r="G359" i="4"/>
  <c r="J358" i="4"/>
  <c r="G358" i="4"/>
  <c r="J357" i="4"/>
  <c r="G357" i="4"/>
  <c r="J356" i="4"/>
  <c r="G356" i="4"/>
  <c r="J355" i="4"/>
  <c r="G355" i="4"/>
  <c r="J354" i="4"/>
  <c r="G354" i="4"/>
  <c r="J353" i="4"/>
  <c r="G353" i="4"/>
  <c r="J352" i="4"/>
  <c r="G352" i="4"/>
  <c r="J351" i="4"/>
  <c r="G351" i="4"/>
  <c r="J350" i="4"/>
  <c r="G350" i="4"/>
  <c r="J349" i="4"/>
  <c r="G349" i="4"/>
  <c r="J348" i="4"/>
  <c r="G348" i="4"/>
  <c r="J345" i="4"/>
  <c r="G345" i="4"/>
  <c r="J344" i="4"/>
  <c r="G344" i="4"/>
  <c r="J343" i="4"/>
  <c r="G343" i="4"/>
  <c r="J342" i="4"/>
  <c r="G342" i="4"/>
  <c r="J341" i="4"/>
  <c r="G341" i="4"/>
  <c r="J340" i="4"/>
  <c r="G340" i="4"/>
  <c r="J339" i="4"/>
  <c r="G339" i="4"/>
  <c r="J338" i="4"/>
  <c r="G338" i="4"/>
  <c r="J337" i="4"/>
  <c r="G337" i="4"/>
  <c r="J336" i="4"/>
  <c r="G336" i="4"/>
  <c r="J335" i="4"/>
  <c r="G335" i="4"/>
  <c r="J334" i="4"/>
  <c r="G334" i="4"/>
  <c r="J333" i="4"/>
  <c r="G333" i="4"/>
  <c r="J332" i="4"/>
  <c r="G332" i="4"/>
  <c r="J331" i="4"/>
  <c r="G331" i="4"/>
  <c r="J330" i="4"/>
  <c r="G330" i="4"/>
  <c r="J329" i="4"/>
  <c r="G329" i="4"/>
  <c r="J328" i="4"/>
  <c r="G328" i="4"/>
  <c r="J327" i="4"/>
  <c r="G327" i="4"/>
  <c r="J326" i="4"/>
  <c r="G326" i="4"/>
  <c r="J325" i="4"/>
  <c r="G325" i="4"/>
  <c r="J324" i="4"/>
  <c r="G324" i="4"/>
  <c r="J323" i="4"/>
  <c r="G323" i="4"/>
  <c r="J322" i="4"/>
  <c r="G322" i="4"/>
  <c r="J321" i="4"/>
  <c r="G321" i="4"/>
  <c r="J320" i="4"/>
  <c r="G320" i="4"/>
  <c r="J319" i="4"/>
  <c r="G319" i="4"/>
  <c r="J318" i="4"/>
  <c r="G318" i="4"/>
  <c r="J317" i="4"/>
  <c r="G317" i="4"/>
  <c r="J316" i="4"/>
  <c r="G316" i="4"/>
  <c r="J315" i="4"/>
  <c r="G315" i="4"/>
  <c r="J314" i="4"/>
  <c r="G314" i="4"/>
  <c r="J313" i="4"/>
  <c r="G313" i="4"/>
  <c r="J312" i="4"/>
  <c r="G312" i="4"/>
  <c r="J311" i="4"/>
  <c r="G311" i="4"/>
  <c r="J310" i="4"/>
  <c r="G310" i="4"/>
  <c r="J309" i="4"/>
  <c r="G309" i="4"/>
  <c r="J308" i="4"/>
  <c r="G308" i="4"/>
  <c r="J307" i="4"/>
  <c r="G307" i="4"/>
  <c r="J306" i="4"/>
  <c r="G306" i="4"/>
  <c r="J305" i="4"/>
  <c r="G305" i="4"/>
  <c r="J304" i="4"/>
  <c r="G304" i="4"/>
  <c r="J303" i="4"/>
  <c r="G303" i="4"/>
  <c r="J302" i="4"/>
  <c r="G302" i="4"/>
  <c r="J301" i="4"/>
  <c r="G301" i="4"/>
  <c r="J300" i="4"/>
  <c r="G300" i="4"/>
  <c r="J299" i="4"/>
  <c r="G299" i="4"/>
  <c r="J298" i="4"/>
  <c r="G298" i="4"/>
  <c r="J297" i="4"/>
  <c r="G297" i="4"/>
  <c r="J296" i="4"/>
  <c r="G296" i="4"/>
  <c r="J295" i="4"/>
  <c r="G295" i="4"/>
  <c r="J294" i="4"/>
  <c r="G294" i="4"/>
  <c r="J293" i="4"/>
  <c r="G293" i="4"/>
  <c r="J292" i="4"/>
  <c r="G292" i="4"/>
  <c r="J291" i="4"/>
  <c r="G291" i="4"/>
  <c r="J290" i="4"/>
  <c r="G290" i="4"/>
  <c r="J289" i="4"/>
  <c r="G289" i="4"/>
  <c r="J288" i="4"/>
  <c r="G288" i="4"/>
  <c r="J287" i="4"/>
  <c r="G287" i="4"/>
  <c r="J286" i="4"/>
  <c r="G286" i="4"/>
  <c r="J285" i="4"/>
  <c r="G285" i="4"/>
  <c r="J284" i="4"/>
  <c r="G284" i="4"/>
  <c r="J283" i="4"/>
  <c r="G283" i="4"/>
  <c r="J282" i="4"/>
  <c r="G282" i="4"/>
  <c r="J281" i="4"/>
  <c r="G281" i="4"/>
  <c r="J280" i="4"/>
  <c r="G280" i="4"/>
  <c r="J279" i="4"/>
  <c r="G279" i="4"/>
  <c r="J278" i="4"/>
  <c r="G278" i="4"/>
  <c r="J277" i="4"/>
  <c r="G277" i="4"/>
  <c r="J276" i="4"/>
  <c r="G276" i="4"/>
  <c r="J275" i="4"/>
  <c r="G275" i="4"/>
  <c r="J274" i="4"/>
  <c r="G274" i="4"/>
  <c r="J273" i="4"/>
  <c r="G273" i="4"/>
  <c r="J272" i="4"/>
  <c r="G272" i="4"/>
  <c r="J271" i="4"/>
  <c r="G271" i="4"/>
  <c r="J270" i="4"/>
  <c r="G270" i="4"/>
  <c r="J269" i="4"/>
  <c r="G269" i="4"/>
  <c r="J268" i="4"/>
  <c r="G268" i="4"/>
  <c r="J267" i="4"/>
  <c r="G267" i="4"/>
  <c r="J266" i="4"/>
  <c r="G266" i="4"/>
  <c r="J265" i="4"/>
  <c r="G265" i="4"/>
  <c r="J264" i="4"/>
  <c r="G264" i="4"/>
  <c r="J263" i="4"/>
  <c r="G263" i="4"/>
  <c r="J262" i="4"/>
  <c r="G262" i="4"/>
  <c r="J261" i="4"/>
  <c r="G261" i="4"/>
  <c r="J260" i="4"/>
  <c r="G260" i="4"/>
  <c r="J259" i="4"/>
  <c r="G259" i="4"/>
  <c r="J258" i="4"/>
  <c r="G258" i="4"/>
  <c r="J257" i="4"/>
  <c r="G257" i="4"/>
  <c r="J256" i="4"/>
  <c r="G256" i="4"/>
  <c r="J253" i="4"/>
  <c r="G253" i="4"/>
  <c r="J252" i="4"/>
  <c r="G252" i="4"/>
  <c r="J251" i="4"/>
  <c r="G251" i="4"/>
  <c r="J250" i="4"/>
  <c r="G250" i="4"/>
  <c r="J249" i="4"/>
  <c r="G249" i="4"/>
  <c r="J248" i="4"/>
  <c r="G248" i="4"/>
  <c r="J247" i="4"/>
  <c r="G247" i="4"/>
  <c r="J246" i="4"/>
  <c r="G246" i="4"/>
  <c r="J245" i="4"/>
  <c r="G245" i="4"/>
  <c r="J244" i="4"/>
  <c r="G244" i="4"/>
  <c r="J243" i="4"/>
  <c r="G243" i="4"/>
  <c r="J242" i="4"/>
  <c r="G242" i="4"/>
  <c r="J241" i="4"/>
  <c r="G241" i="4"/>
  <c r="J240" i="4"/>
  <c r="G240" i="4"/>
  <c r="J239" i="4"/>
  <c r="G239" i="4"/>
  <c r="J238" i="4"/>
  <c r="G238" i="4"/>
  <c r="J237" i="4"/>
  <c r="G237" i="4"/>
  <c r="J236" i="4"/>
  <c r="G236" i="4"/>
  <c r="J235" i="4"/>
  <c r="G235" i="4"/>
  <c r="J234" i="4"/>
  <c r="G234" i="4"/>
  <c r="J233" i="4"/>
  <c r="G233" i="4"/>
  <c r="J232" i="4"/>
  <c r="G232" i="4"/>
  <c r="J231" i="4"/>
  <c r="G231" i="4"/>
  <c r="J230" i="4"/>
  <c r="G230" i="4"/>
  <c r="J229" i="4"/>
  <c r="G229" i="4"/>
  <c r="J228" i="4"/>
  <c r="G228" i="4"/>
  <c r="J227" i="4"/>
  <c r="G227" i="4"/>
  <c r="J226" i="4"/>
  <c r="G226" i="4"/>
  <c r="J225" i="4"/>
  <c r="G225" i="4"/>
  <c r="J224" i="4"/>
  <c r="G224" i="4"/>
  <c r="J223" i="4"/>
  <c r="G223" i="4"/>
  <c r="J222" i="4"/>
  <c r="G222" i="4"/>
  <c r="J221" i="4"/>
  <c r="G221" i="4"/>
  <c r="J220" i="4"/>
  <c r="G220" i="4"/>
  <c r="J219" i="4"/>
  <c r="G219" i="4"/>
  <c r="J218" i="4"/>
  <c r="G218" i="4"/>
  <c r="J217" i="4"/>
  <c r="G217" i="4"/>
  <c r="J216" i="4"/>
  <c r="G216" i="4"/>
  <c r="J215" i="4"/>
  <c r="G215" i="4"/>
  <c r="J214" i="4"/>
  <c r="G214" i="4"/>
  <c r="J213" i="4"/>
  <c r="G213" i="4"/>
  <c r="J212" i="4"/>
  <c r="G212" i="4"/>
  <c r="J211" i="4"/>
  <c r="G211" i="4"/>
  <c r="J210" i="4"/>
  <c r="G210" i="4"/>
  <c r="J209" i="4"/>
  <c r="G209" i="4"/>
  <c r="J208" i="4"/>
  <c r="G208" i="4"/>
  <c r="J207" i="4"/>
  <c r="G207" i="4"/>
  <c r="J206" i="4"/>
  <c r="G206" i="4"/>
  <c r="J205" i="4"/>
  <c r="G205" i="4"/>
  <c r="J204" i="4"/>
  <c r="G204" i="4"/>
  <c r="J203" i="4"/>
  <c r="G203" i="4"/>
  <c r="J202" i="4"/>
  <c r="G202" i="4"/>
  <c r="J201" i="4"/>
  <c r="G201" i="4"/>
  <c r="J200" i="4"/>
  <c r="G200" i="4"/>
  <c r="J199" i="4"/>
  <c r="G199" i="4"/>
  <c r="J198" i="4"/>
  <c r="G198" i="4"/>
  <c r="J197" i="4"/>
  <c r="G197" i="4"/>
  <c r="J196" i="4"/>
  <c r="G196" i="4"/>
  <c r="J195" i="4"/>
  <c r="G195" i="4"/>
  <c r="J194" i="4"/>
  <c r="G194" i="4"/>
  <c r="J193" i="4"/>
  <c r="G193" i="4"/>
  <c r="J192" i="4"/>
  <c r="G192" i="4"/>
  <c r="J191" i="4"/>
  <c r="G191" i="4"/>
  <c r="J190" i="4"/>
  <c r="G190" i="4"/>
  <c r="J189" i="4"/>
  <c r="G189" i="4"/>
  <c r="J188" i="4"/>
  <c r="G188" i="4"/>
  <c r="J187" i="4"/>
  <c r="G187" i="4"/>
  <c r="J186" i="4"/>
  <c r="G186" i="4"/>
  <c r="J185" i="4"/>
  <c r="G185" i="4"/>
  <c r="J184" i="4"/>
  <c r="G184" i="4"/>
  <c r="J183" i="4"/>
  <c r="G183" i="4"/>
  <c r="J182" i="4"/>
  <c r="G182" i="4"/>
  <c r="J181" i="4"/>
  <c r="G181" i="4"/>
  <c r="J180" i="4"/>
  <c r="G180" i="4"/>
  <c r="J179" i="4"/>
  <c r="G179" i="4"/>
  <c r="J178" i="4"/>
  <c r="G178" i="4"/>
  <c r="J177" i="4"/>
  <c r="G177" i="4"/>
  <c r="J176" i="4"/>
  <c r="G176" i="4"/>
  <c r="J175" i="4"/>
  <c r="G175" i="4"/>
  <c r="J174" i="4"/>
  <c r="G174" i="4"/>
  <c r="J173" i="4"/>
  <c r="G173" i="4"/>
  <c r="J172" i="4"/>
  <c r="G172" i="4"/>
  <c r="J171" i="4"/>
  <c r="G171" i="4"/>
  <c r="J170" i="4"/>
  <c r="G170" i="4"/>
  <c r="J169" i="4"/>
  <c r="G169" i="4"/>
  <c r="J168" i="4"/>
  <c r="G168" i="4"/>
  <c r="J167" i="4"/>
  <c r="G167" i="4"/>
  <c r="J166" i="4"/>
  <c r="G166" i="4"/>
  <c r="J165" i="4"/>
  <c r="G165" i="4"/>
  <c r="J162" i="4"/>
  <c r="G162" i="4"/>
  <c r="J159" i="4"/>
  <c r="G159" i="4"/>
  <c r="J158" i="4"/>
  <c r="G158" i="4"/>
  <c r="J157" i="4"/>
  <c r="G157" i="4"/>
  <c r="J156" i="4"/>
  <c r="G156" i="4"/>
  <c r="J155" i="4"/>
  <c r="G155" i="4"/>
  <c r="J154" i="4"/>
  <c r="G154" i="4"/>
  <c r="J151" i="4"/>
  <c r="G151" i="4"/>
  <c r="J150" i="4"/>
  <c r="G150" i="4"/>
  <c r="J149" i="4"/>
  <c r="G149" i="4"/>
  <c r="J148" i="4"/>
  <c r="G148" i="4"/>
  <c r="J147" i="4"/>
  <c r="G147" i="4"/>
  <c r="J146" i="4"/>
  <c r="G146" i="4"/>
  <c r="J145" i="4"/>
  <c r="G145" i="4"/>
  <c r="J144" i="4"/>
  <c r="G144" i="4"/>
  <c r="J143" i="4"/>
  <c r="G143" i="4"/>
  <c r="J142" i="4"/>
  <c r="G142" i="4"/>
  <c r="J141" i="4"/>
  <c r="G141" i="4"/>
  <c r="J140" i="4"/>
  <c r="G140" i="4"/>
  <c r="J137" i="4"/>
  <c r="G137" i="4"/>
  <c r="J136" i="4"/>
  <c r="G136" i="4"/>
  <c r="J135" i="4"/>
  <c r="G135" i="4"/>
  <c r="J134" i="4"/>
  <c r="G134" i="4"/>
  <c r="J133" i="4"/>
  <c r="G133" i="4"/>
  <c r="J132" i="4"/>
  <c r="G132" i="4"/>
  <c r="J131" i="4"/>
  <c r="G131" i="4"/>
  <c r="J130" i="4"/>
  <c r="G130" i="4"/>
  <c r="J129" i="4"/>
  <c r="G129" i="4"/>
  <c r="J128" i="4"/>
  <c r="G128" i="4"/>
  <c r="J127" i="4"/>
  <c r="G127" i="4"/>
  <c r="J126" i="4"/>
  <c r="G126" i="4"/>
  <c r="J125" i="4"/>
  <c r="G125" i="4"/>
  <c r="J124" i="4"/>
  <c r="G124" i="4"/>
  <c r="J123" i="4"/>
  <c r="G123" i="4"/>
  <c r="J120" i="4"/>
  <c r="G120" i="4"/>
  <c r="J119" i="4"/>
  <c r="G119" i="4"/>
  <c r="J118" i="4"/>
  <c r="G118" i="4"/>
  <c r="J117" i="4"/>
  <c r="G117" i="4"/>
  <c r="J116" i="4"/>
  <c r="G116" i="4"/>
  <c r="J115" i="4"/>
  <c r="G115" i="4"/>
  <c r="J114" i="4"/>
  <c r="G114" i="4"/>
  <c r="J113" i="4"/>
  <c r="G113" i="4"/>
  <c r="J112" i="4"/>
  <c r="G112" i="4"/>
  <c r="J111" i="4"/>
  <c r="G111" i="4"/>
  <c r="J110" i="4"/>
  <c r="G110" i="4"/>
  <c r="J109" i="4"/>
  <c r="G109" i="4"/>
  <c r="J108" i="4"/>
  <c r="G108" i="4"/>
  <c r="J107" i="4"/>
  <c r="G107" i="4"/>
  <c r="J106" i="4"/>
  <c r="G106" i="4"/>
  <c r="J105" i="4"/>
  <c r="G105" i="4"/>
  <c r="J104" i="4"/>
  <c r="G104" i="4"/>
  <c r="J103" i="4"/>
  <c r="G103" i="4"/>
  <c r="J102" i="4"/>
  <c r="G102" i="4"/>
  <c r="J101" i="4"/>
  <c r="G101" i="4"/>
  <c r="J100" i="4"/>
  <c r="G100" i="4"/>
  <c r="J99" i="4"/>
  <c r="G99" i="4"/>
  <c r="J98" i="4"/>
  <c r="G98" i="4"/>
  <c r="J97" i="4"/>
  <c r="G97" i="4"/>
  <c r="J96" i="4"/>
  <c r="G96" i="4"/>
  <c r="J95" i="4"/>
  <c r="G95" i="4"/>
  <c r="J94" i="4"/>
  <c r="G94" i="4"/>
  <c r="J93" i="4"/>
  <c r="G93" i="4"/>
  <c r="J92" i="4"/>
  <c r="G92" i="4"/>
  <c r="J91" i="4"/>
  <c r="G91" i="4"/>
  <c r="J90" i="4"/>
  <c r="G90" i="4"/>
  <c r="J89" i="4"/>
  <c r="G89" i="4"/>
  <c r="J88" i="4"/>
  <c r="G88" i="4"/>
  <c r="J87" i="4"/>
  <c r="G87" i="4"/>
  <c r="J86" i="4"/>
  <c r="G86" i="4"/>
  <c r="J85" i="4"/>
  <c r="G85" i="4"/>
  <c r="J84" i="4"/>
  <c r="G84" i="4"/>
  <c r="J83" i="4"/>
  <c r="G83" i="4"/>
  <c r="J82" i="4"/>
  <c r="G82" i="4"/>
  <c r="J81" i="4"/>
  <c r="G81" i="4"/>
  <c r="J80" i="4"/>
  <c r="G80" i="4"/>
  <c r="J79" i="4"/>
  <c r="G79" i="4"/>
  <c r="J78" i="4"/>
  <c r="G78" i="4"/>
  <c r="J77" i="4"/>
  <c r="G77" i="4"/>
  <c r="J76" i="4"/>
  <c r="G76" i="4"/>
  <c r="J75" i="4"/>
  <c r="G75" i="4"/>
  <c r="J72" i="4"/>
  <c r="G72" i="4"/>
  <c r="J71" i="4"/>
  <c r="G71" i="4"/>
  <c r="J70" i="4"/>
  <c r="G70" i="4"/>
  <c r="J69" i="4"/>
  <c r="G69" i="4"/>
  <c r="J68" i="4"/>
  <c r="G68" i="4"/>
  <c r="J67" i="4"/>
  <c r="G67" i="4"/>
  <c r="J66" i="4"/>
  <c r="G66" i="4"/>
  <c r="J65" i="4"/>
  <c r="G65" i="4"/>
  <c r="J64" i="4"/>
  <c r="G64" i="4"/>
  <c r="J63" i="4"/>
  <c r="G63" i="4"/>
  <c r="J62" i="4"/>
  <c r="G62" i="4"/>
  <c r="J61" i="4"/>
  <c r="G61" i="4"/>
  <c r="J60" i="4"/>
  <c r="G60" i="4"/>
  <c r="J59" i="4"/>
  <c r="G59" i="4"/>
  <c r="J58" i="4"/>
  <c r="G58" i="4"/>
  <c r="J57" i="4"/>
  <c r="G57" i="4"/>
  <c r="J56" i="4"/>
  <c r="G56" i="4"/>
  <c r="J55" i="4"/>
  <c r="G55" i="4"/>
  <c r="J54" i="4"/>
  <c r="G54" i="4"/>
  <c r="J53" i="4"/>
  <c r="G53" i="4"/>
  <c r="J52" i="4"/>
  <c r="G52" i="4"/>
  <c r="J51" i="4"/>
  <c r="G51" i="4"/>
  <c r="J50" i="4"/>
  <c r="G50" i="4"/>
  <c r="J49" i="4"/>
  <c r="G49" i="4"/>
  <c r="J48" i="4"/>
  <c r="G48" i="4"/>
  <c r="J47" i="4"/>
  <c r="G47" i="4"/>
  <c r="J46" i="4"/>
  <c r="G46" i="4"/>
  <c r="J45" i="4"/>
  <c r="G45" i="4"/>
  <c r="J44" i="4"/>
  <c r="G44" i="4"/>
  <c r="J43" i="4"/>
  <c r="G43" i="4"/>
  <c r="J42" i="4"/>
  <c r="G42" i="4"/>
  <c r="J41" i="4"/>
  <c r="G41" i="4"/>
  <c r="J40" i="4"/>
  <c r="G40" i="4"/>
  <c r="J39" i="4"/>
  <c r="G39" i="4"/>
  <c r="J38" i="4"/>
  <c r="G38" i="4"/>
  <c r="J37" i="4"/>
  <c r="G37" i="4"/>
  <c r="J36" i="4"/>
  <c r="G36" i="4"/>
  <c r="J35" i="4"/>
  <c r="G35" i="4"/>
  <c r="J34" i="4"/>
  <c r="G34" i="4"/>
  <c r="J33" i="4"/>
  <c r="G33" i="4"/>
  <c r="J32" i="4"/>
  <c r="G32" i="4"/>
  <c r="J31" i="4"/>
  <c r="G31" i="4"/>
  <c r="J30" i="4"/>
  <c r="G30" i="4"/>
  <c r="J29" i="4"/>
  <c r="G29" i="4"/>
  <c r="J28" i="4"/>
  <c r="G28" i="4"/>
  <c r="J25" i="4"/>
  <c r="G25" i="4"/>
  <c r="J24" i="4"/>
  <c r="G24" i="4"/>
  <c r="J23" i="4"/>
  <c r="G23" i="4"/>
  <c r="J22" i="4"/>
  <c r="G22" i="4"/>
  <c r="J21" i="4"/>
  <c r="G21" i="4"/>
  <c r="J20" i="4"/>
  <c r="G20" i="4"/>
  <c r="J19" i="4"/>
  <c r="G19" i="4"/>
  <c r="J18" i="4"/>
  <c r="G18" i="4"/>
  <c r="J17" i="4"/>
  <c r="G17" i="4"/>
  <c r="J16" i="4"/>
  <c r="G16" i="4"/>
  <c r="J15" i="4"/>
  <c r="G15" i="4"/>
  <c r="J14" i="4"/>
  <c r="G14" i="4"/>
  <c r="J13" i="4"/>
  <c r="G13" i="4"/>
  <c r="J12" i="4"/>
  <c r="G12" i="4"/>
  <c r="J11" i="4"/>
  <c r="G11" i="4"/>
  <c r="J10" i="4"/>
  <c r="G10" i="4"/>
  <c r="J9" i="4"/>
  <c r="G9" i="4"/>
  <c r="J8" i="4"/>
  <c r="G8" i="4"/>
  <c r="J7" i="4"/>
  <c r="G7" i="4"/>
  <c r="Q45" i="8"/>
  <c r="Q44" i="8"/>
  <c r="Q43" i="8"/>
  <c r="Q42" i="8"/>
  <c r="Q41" i="8"/>
  <c r="Q40" i="8"/>
  <c r="Q39" i="8"/>
  <c r="Q38" i="8"/>
  <c r="Q37" i="8"/>
  <c r="Q36" i="8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P45" i="8"/>
  <c r="P44" i="8"/>
  <c r="P43" i="8"/>
  <c r="P42" i="8"/>
  <c r="P41" i="8"/>
  <c r="P40" i="8"/>
  <c r="P39" i="8"/>
  <c r="P38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G44" i="5"/>
  <c r="E44" i="5"/>
  <c r="D44" i="5"/>
  <c r="C44" i="5"/>
  <c r="B44" i="5"/>
  <c r="G43" i="5"/>
  <c r="E43" i="5"/>
  <c r="D43" i="5"/>
  <c r="C43" i="5"/>
  <c r="B43" i="5"/>
  <c r="G42" i="5"/>
  <c r="E42" i="5"/>
  <c r="D42" i="5"/>
  <c r="C42" i="5"/>
  <c r="B42" i="5"/>
  <c r="G41" i="5"/>
  <c r="E41" i="5"/>
  <c r="D41" i="5"/>
  <c r="C41" i="5"/>
  <c r="B41" i="5"/>
  <c r="G40" i="5"/>
  <c r="E40" i="5"/>
  <c r="D40" i="5"/>
  <c r="C40" i="5"/>
  <c r="B40" i="5"/>
  <c r="G39" i="5"/>
  <c r="E39" i="5"/>
  <c r="D39" i="5"/>
  <c r="C39" i="5"/>
  <c r="B39" i="5"/>
  <c r="G38" i="5"/>
  <c r="E38" i="5"/>
  <c r="D38" i="5"/>
  <c r="C38" i="5"/>
  <c r="B38" i="5"/>
  <c r="G37" i="5"/>
  <c r="E37" i="5"/>
  <c r="D37" i="5"/>
  <c r="C37" i="5"/>
  <c r="B37" i="5"/>
  <c r="G36" i="5"/>
  <c r="E36" i="5"/>
  <c r="D36" i="5"/>
  <c r="C36" i="5"/>
  <c r="B36" i="5"/>
  <c r="G35" i="5"/>
  <c r="E35" i="5"/>
  <c r="D35" i="5"/>
  <c r="C35" i="5"/>
  <c r="B35" i="5"/>
  <c r="G34" i="5"/>
  <c r="E34" i="5"/>
  <c r="D34" i="5"/>
  <c r="C34" i="5"/>
  <c r="B34" i="5"/>
  <c r="G33" i="5"/>
  <c r="E33" i="5"/>
  <c r="D33" i="5"/>
  <c r="C33" i="5"/>
  <c r="B33" i="5"/>
  <c r="G32" i="5"/>
  <c r="E32" i="5"/>
  <c r="D32" i="5"/>
  <c r="C32" i="5"/>
  <c r="B32" i="5"/>
  <c r="G31" i="5"/>
  <c r="E31" i="5"/>
  <c r="D31" i="5"/>
  <c r="C31" i="5"/>
  <c r="B31" i="5"/>
  <c r="G30" i="5"/>
  <c r="E30" i="5"/>
  <c r="D30" i="5"/>
  <c r="C30" i="5"/>
  <c r="B30" i="5"/>
  <c r="G29" i="5"/>
  <c r="E29" i="5"/>
  <c r="D29" i="5"/>
  <c r="C29" i="5"/>
  <c r="B29" i="5"/>
  <c r="G28" i="5"/>
  <c r="E28" i="5"/>
  <c r="D28" i="5"/>
  <c r="C28" i="5"/>
  <c r="B28" i="5"/>
  <c r="G27" i="5"/>
  <c r="E27" i="5"/>
  <c r="D27" i="5"/>
  <c r="C27" i="5"/>
  <c r="B27" i="5"/>
  <c r="G26" i="5"/>
  <c r="E26" i="5"/>
  <c r="D26" i="5"/>
  <c r="C26" i="5"/>
  <c r="B26" i="5"/>
  <c r="G25" i="5"/>
  <c r="E25" i="5"/>
  <c r="D25" i="5"/>
  <c r="C25" i="5"/>
  <c r="B25" i="5"/>
  <c r="G24" i="5"/>
  <c r="E24" i="5"/>
  <c r="D24" i="5"/>
  <c r="C24" i="5"/>
  <c r="B24" i="5"/>
  <c r="G23" i="5"/>
  <c r="E23" i="5"/>
  <c r="D23" i="5"/>
  <c r="C23" i="5"/>
  <c r="B23" i="5"/>
  <c r="G22" i="5"/>
  <c r="E22" i="5"/>
  <c r="D22" i="5"/>
  <c r="C22" i="5"/>
  <c r="B22" i="5"/>
  <c r="G21" i="5"/>
  <c r="E21" i="5"/>
  <c r="D21" i="5"/>
  <c r="C21" i="5"/>
  <c r="B21" i="5"/>
  <c r="G20" i="5"/>
  <c r="E20" i="5"/>
  <c r="D20" i="5"/>
  <c r="C20" i="5"/>
  <c r="B20" i="5"/>
  <c r="G19" i="5"/>
  <c r="E19" i="5"/>
  <c r="D19" i="5"/>
  <c r="C19" i="5"/>
  <c r="B19" i="5"/>
  <c r="G18" i="5"/>
  <c r="E18" i="5"/>
  <c r="D18" i="5"/>
  <c r="C18" i="5"/>
  <c r="B18" i="5"/>
  <c r="G17" i="5"/>
  <c r="E17" i="5"/>
  <c r="D17" i="5"/>
  <c r="C17" i="5"/>
  <c r="B17" i="5"/>
  <c r="G16" i="5"/>
  <c r="E16" i="5"/>
  <c r="D16" i="5"/>
  <c r="C16" i="5"/>
  <c r="B16" i="5"/>
  <c r="G15" i="5"/>
  <c r="E15" i="5"/>
  <c r="D15" i="5"/>
  <c r="C15" i="5"/>
  <c r="B15" i="5"/>
  <c r="G14" i="5"/>
  <c r="E14" i="5"/>
  <c r="D14" i="5"/>
  <c r="C14" i="5"/>
  <c r="B14" i="5"/>
  <c r="G13" i="5"/>
  <c r="E13" i="5"/>
  <c r="D13" i="5"/>
  <c r="C13" i="5"/>
  <c r="B13" i="5"/>
  <c r="G12" i="5"/>
  <c r="E12" i="5"/>
  <c r="D12" i="5"/>
  <c r="C12" i="5"/>
  <c r="B12" i="5"/>
  <c r="G11" i="5"/>
  <c r="E11" i="5"/>
  <c r="D11" i="5"/>
  <c r="C11" i="5"/>
  <c r="B11" i="5"/>
  <c r="G10" i="5"/>
  <c r="E10" i="5"/>
  <c r="D10" i="5"/>
  <c r="C10" i="5"/>
  <c r="B10" i="5"/>
  <c r="H44" i="5"/>
  <c r="H42" i="5"/>
  <c r="I3" i="3"/>
  <c r="B6" i="5" s="1"/>
  <c r="F6" i="5"/>
  <c r="F5" i="5"/>
  <c r="B5" i="5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15" i="3" l="1"/>
  <c r="N15" i="3" s="1"/>
  <c r="P15" i="3" s="1"/>
  <c r="L149" i="3"/>
  <c r="M149" i="3" s="1"/>
  <c r="N149" i="3" s="1"/>
  <c r="P149" i="3" s="1"/>
  <c r="L184" i="3"/>
  <c r="M184" i="3" s="1"/>
  <c r="N184" i="3" s="1"/>
  <c r="P184" i="3" s="1"/>
  <c r="L179" i="3"/>
  <c r="M179" i="3" s="1"/>
  <c r="N179" i="3" s="1"/>
  <c r="P179" i="3" s="1"/>
  <c r="L189" i="3"/>
  <c r="M189" i="3" s="1"/>
  <c r="N189" i="3" s="1"/>
  <c r="P189" i="3" s="1"/>
  <c r="L49" i="3"/>
  <c r="L119" i="3"/>
  <c r="M119" i="3" s="1"/>
  <c r="N119" i="3" s="1"/>
  <c r="P119" i="3" s="1"/>
  <c r="L174" i="3"/>
  <c r="M174" i="3" s="1"/>
  <c r="N174" i="3" s="1"/>
  <c r="P174" i="3" s="1"/>
  <c r="M40" i="3"/>
  <c r="N40" i="3" s="1"/>
  <c r="P40" i="3" s="1"/>
  <c r="H36" i="5" s="1"/>
  <c r="M64" i="3"/>
  <c r="N64" i="3" s="1"/>
  <c r="P64" i="3" s="1"/>
  <c r="M57" i="3"/>
  <c r="N57" i="3" s="1"/>
  <c r="M53" i="3"/>
  <c r="N53" i="3" s="1"/>
  <c r="P53" i="3" s="1"/>
  <c r="M47" i="3"/>
  <c r="N47" i="3" s="1"/>
  <c r="P47" i="3" s="1"/>
  <c r="H43" i="5" s="1"/>
  <c r="M27" i="3"/>
  <c r="N27" i="3" s="1"/>
  <c r="P27" i="3" s="1"/>
  <c r="H23" i="5" s="1"/>
  <c r="M36" i="3"/>
  <c r="N36" i="3" s="1"/>
  <c r="P36" i="3" s="1"/>
  <c r="H32" i="5" s="1"/>
  <c r="M24" i="3"/>
  <c r="N24" i="3" s="1"/>
  <c r="P24" i="3" s="1"/>
  <c r="M48" i="3"/>
  <c r="N48" i="3" s="1"/>
  <c r="P48" i="3" s="1"/>
  <c r="M17" i="3"/>
  <c r="N17" i="3" s="1"/>
  <c r="P17" i="3" s="1"/>
  <c r="H13" i="5" s="1"/>
  <c r="M69" i="3"/>
  <c r="N69" i="3" s="1"/>
  <c r="P69" i="3" s="1"/>
  <c r="M18" i="3"/>
  <c r="N18" i="3" s="1"/>
  <c r="P18" i="3" s="1"/>
  <c r="H14" i="5" s="1"/>
  <c r="M29" i="3"/>
  <c r="N29" i="3" s="1"/>
  <c r="P29" i="3" s="1"/>
  <c r="H25" i="5" s="1"/>
  <c r="M28" i="3"/>
  <c r="N28" i="3" s="1"/>
  <c r="P28" i="3" s="1"/>
  <c r="H24" i="5" s="1"/>
  <c r="M62" i="3"/>
  <c r="N62" i="3" s="1"/>
  <c r="P62" i="3" s="1"/>
  <c r="M52" i="3"/>
  <c r="N52" i="3" s="1"/>
  <c r="P52" i="3" s="1"/>
  <c r="M74" i="3"/>
  <c r="N74" i="3" s="1"/>
  <c r="P74" i="3" s="1"/>
  <c r="H31" i="5"/>
  <c r="H17" i="5"/>
  <c r="H22" i="5"/>
  <c r="H27" i="5"/>
  <c r="H37" i="5"/>
  <c r="H38" i="5"/>
  <c r="H39" i="5"/>
  <c r="H29" i="5"/>
  <c r="H19" i="5"/>
  <c r="H15" i="5"/>
  <c r="H30" i="5"/>
  <c r="H35" i="5"/>
  <c r="H40" i="5"/>
  <c r="F41" i="5"/>
  <c r="F32" i="5"/>
  <c r="F42" i="5"/>
  <c r="F44" i="5"/>
  <c r="H16" i="5"/>
  <c r="H26" i="5"/>
  <c r="B211" i="3" l="1"/>
  <c r="M49" i="3"/>
  <c r="N49" i="3" s="1"/>
  <c r="P49" i="3" s="1"/>
  <c r="F43" i="5"/>
  <c r="P206" i="3"/>
  <c r="F29" i="5"/>
  <c r="F24" i="5"/>
  <c r="F23" i="5"/>
  <c r="F19" i="5"/>
  <c r="F15" i="5"/>
  <c r="F39" i="5"/>
  <c r="F30" i="5"/>
  <c r="F22" i="5"/>
  <c r="F38" i="5"/>
  <c r="F40" i="5"/>
  <c r="F35" i="5"/>
  <c r="F27" i="5"/>
  <c r="F31" i="5"/>
  <c r="F37" i="5"/>
  <c r="F25" i="5"/>
  <c r="F17" i="5"/>
  <c r="F14" i="5"/>
  <c r="F36" i="5"/>
  <c r="F26" i="5"/>
  <c r="F13" i="5"/>
  <c r="F16" i="5"/>
  <c r="H28" i="5" l="1"/>
  <c r="F28" i="5"/>
  <c r="H18" i="5"/>
  <c r="F18" i="5"/>
  <c r="H21" i="5"/>
  <c r="F21" i="5"/>
  <c r="F12" i="5"/>
  <c r="H12" i="5"/>
  <c r="H33" i="5"/>
  <c r="F33" i="5"/>
  <c r="H20" i="5"/>
  <c r="F20" i="5"/>
  <c r="H34" i="5"/>
  <c r="F34" i="5"/>
  <c r="F11" i="5"/>
  <c r="H11" i="5"/>
  <c r="F10" i="5"/>
  <c r="P208" i="3" l="1"/>
  <c r="H10" i="5"/>
  <c r="P207" i="3" l="1"/>
  <c r="F55" i="5" s="1"/>
  <c r="F54" i="5"/>
  <c r="F211" i="3"/>
  <c r="F5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Torres</author>
  </authors>
  <commentList>
    <comment ref="C3" authorId="0" shapeId="0" xr:uid="{153ACB2C-8BDB-4047-ABAB-D5637B0F79B4}">
      <text>
        <r>
          <rPr>
            <b/>
            <sz val="10"/>
            <color rgb="FF000000"/>
            <rFont val="Tahoma"/>
            <family val="2"/>
          </rPr>
          <t>Daniel Torres:</t>
        </r>
        <r>
          <rPr>
            <sz val="10"/>
            <color rgb="FF000000"/>
            <rFont val="Tahoma"/>
            <family val="2"/>
          </rPr>
          <t xml:space="preserve">
Actualizar mensualmente con tipo de cambio vigente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Torres</author>
  </authors>
  <commentList>
    <comment ref="B13" authorId="0" shapeId="0" xr:uid="{EAE13652-8B64-8A46-8AF2-2C597A0FF437}">
      <text>
        <r>
          <rPr>
            <b/>
            <sz val="10"/>
            <color rgb="FF000000"/>
            <rFont val="Tahoma"/>
            <family val="2"/>
          </rPr>
          <t xml:space="preserve">GUÍA DE DIMENSIONES POR COMPONENTE: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🔹</t>
        </r>
        <r>
          <rPr>
            <b/>
            <sz val="10"/>
            <color rgb="FF000000"/>
            <rFont val="Tahoma"/>
            <family val="2"/>
          </rPr>
          <t xml:space="preserve"> PARAL 1/2 VISTAS y PARAL DELGADO 2V:
</t>
        </r>
        <r>
          <rPr>
            <b/>
            <sz val="10"/>
            <color rgb="FF000000"/>
            <rFont val="Tahoma"/>
            <family val="2"/>
          </rPr>
          <t xml:space="preserve">   C = Profundidad | D = Alto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🔹</t>
        </r>
        <r>
          <rPr>
            <b/>
            <sz val="10"/>
            <color rgb="FF000000"/>
            <rFont val="Tahoma"/>
            <family val="2"/>
          </rPr>
          <t xml:space="preserve"> PISO / PISO CON ZOCLO / CIELO:
</t>
        </r>
        <r>
          <rPr>
            <b/>
            <sz val="10"/>
            <color rgb="FF000000"/>
            <rFont val="Tahoma"/>
            <family val="2"/>
          </rPr>
          <t xml:space="preserve">   C = Profundidad | D = Largo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🔹</t>
        </r>
        <r>
          <rPr>
            <b/>
            <sz val="10"/>
            <color rgb="FF000000"/>
            <rFont val="Tahoma"/>
            <family val="2"/>
          </rPr>
          <t xml:space="preserve"> ENTREPAÑO / ENTREPAÑO LED / ENTREPAÑO DELGADO:
</t>
        </r>
        <r>
          <rPr>
            <b/>
            <sz val="10"/>
            <color rgb="FF000000"/>
            <rFont val="Tahoma"/>
            <family val="2"/>
          </rPr>
          <t xml:space="preserve">   C = Profundidad | D = Largo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🔹</t>
        </r>
        <r>
          <rPr>
            <b/>
            <sz val="10"/>
            <color rgb="FF000000"/>
            <rFont val="Tahoma"/>
            <family val="2"/>
          </rPr>
          <t xml:space="preserve"> CAJÓN:
</t>
        </r>
        <r>
          <rPr>
            <b/>
            <sz val="10"/>
            <color rgb="FF000000"/>
            <rFont val="Tahoma"/>
            <family val="2"/>
          </rPr>
          <t xml:space="preserve">   C = Ancho | D = Alto frontal | E = Prof. cajón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🔹</t>
        </r>
        <r>
          <rPr>
            <b/>
            <sz val="10"/>
            <color rgb="FF000000"/>
            <rFont val="Tahoma"/>
            <family val="2"/>
          </rPr>
          <t xml:space="preserve"> ZAPATERA EXTRAÍBLE:
</t>
        </r>
        <r>
          <rPr>
            <b/>
            <sz val="10"/>
            <color rgb="FF000000"/>
            <rFont val="Tahoma"/>
            <family val="2"/>
          </rPr>
          <t xml:space="preserve">   C = Ancho | D = Alto (6cm) | E = Prof. corredera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🔹</t>
        </r>
        <r>
          <rPr>
            <b/>
            <sz val="10"/>
            <color rgb="FF000000"/>
            <rFont val="Tahoma"/>
            <family val="2"/>
          </rPr>
          <t xml:space="preserve"> PUERTAS (Abatible/Corredera/Espejo):
</t>
        </r>
        <r>
          <rPr>
            <b/>
            <sz val="10"/>
            <color rgb="FF000000"/>
            <rFont val="Tahoma"/>
            <family val="2"/>
          </rPr>
          <t xml:space="preserve">   C = Ancho | D = Alto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🔹</t>
        </r>
        <r>
          <rPr>
            <b/>
            <sz val="10"/>
            <color rgb="FF000000"/>
            <rFont val="Tahoma"/>
            <family val="2"/>
          </rPr>
          <t xml:space="preserve"> TUBO COLGAR:
</t>
        </r>
        <r>
          <rPr>
            <b/>
            <sz val="10"/>
            <color rgb="FF000000"/>
            <rFont val="Tahoma"/>
            <family val="2"/>
          </rPr>
          <t xml:space="preserve">   C = ESPECIAL | D = Largo del tubo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🔹</t>
        </r>
        <r>
          <rPr>
            <b/>
            <sz val="10"/>
            <color rgb="FF000000"/>
            <rFont val="Tahoma"/>
            <family val="2"/>
          </rPr>
          <t xml:space="preserve"> ESPEJO:
</t>
        </r>
        <r>
          <rPr>
            <b/>
            <sz val="10"/>
            <color rgb="FF000000"/>
            <rFont val="Tahoma"/>
            <family val="2"/>
          </rPr>
          <t xml:space="preserve">   C = Ancho | D = Alto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🔹</t>
        </r>
        <r>
          <rPr>
            <b/>
            <sz val="10"/>
            <color rgb="FF000000"/>
            <rFont val="Tahoma"/>
            <family val="2"/>
          </rPr>
          <t xml:space="preserve"> MOLDURAS (Sencilla/Media/Difícil/Gruesa Difícil):
</t>
        </r>
        <r>
          <rPr>
            <b/>
            <sz val="10"/>
            <color rgb="FF000000"/>
            <rFont val="Tahoma"/>
            <family val="2"/>
          </rPr>
          <t xml:space="preserve">   C = 5 (fijo, ancho ref.) | D = Largo en cm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🔹</t>
        </r>
        <r>
          <rPr>
            <b/>
            <sz val="10"/>
            <color rgb="FF000000"/>
            <rFont val="Tahoma"/>
            <family val="2"/>
          </rPr>
          <t xml:space="preserve"> FONDO MADERA:
</t>
        </r>
        <r>
          <rPr>
            <b/>
            <sz val="10"/>
            <color rgb="FF000000"/>
            <rFont val="Tahoma"/>
            <family val="2"/>
          </rPr>
          <t xml:space="preserve">   C = Ancho | D = Largo</t>
        </r>
      </text>
    </comment>
    <comment ref="C13" authorId="0" shapeId="0" xr:uid="{347B5893-2851-344F-A6BB-78B55B5D3EBC}">
      <text>
        <r>
          <rPr>
            <b/>
            <sz val="10"/>
            <color rgb="FF000000"/>
            <rFont val="Tahoma"/>
            <family val="2"/>
          </rPr>
          <t xml:space="preserve">INGRESA EL VALOR EN CM (entrada libre, 1-300):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• Parales: 40, 50, 60, 70cm (profundidad)
</t>
        </r>
        <r>
          <rPr>
            <b/>
            <sz val="10"/>
            <color rgb="FF000000"/>
            <rFont val="Tahoma"/>
            <family val="2"/>
          </rPr>
          <t xml:space="preserve">• Pisos/Cielos/Entrepaños: 40-70cm (profundidad)
</t>
        </r>
        <r>
          <rPr>
            <b/>
            <sz val="10"/>
            <color rgb="FF000000"/>
            <rFont val="Tahoma"/>
            <family val="2"/>
          </rPr>
          <t xml:space="preserve">• Cajón: 60, 70, 75, 80, 90cm (ancho)
</t>
        </r>
        <r>
          <rPr>
            <b/>
            <sz val="10"/>
            <color rgb="FF000000"/>
            <rFont val="Tahoma"/>
            <family val="2"/>
          </rPr>
          <t xml:space="preserve">• Zapatera: 30, 75, 90cm (ancho)
</t>
        </r>
        <r>
          <rPr>
            <b/>
            <sz val="10"/>
            <color rgb="FF000000"/>
            <rFont val="Tahoma"/>
            <family val="2"/>
          </rPr>
          <t xml:space="preserve">• Puertas/Espejo: 40-90cm (ancho)
</t>
        </r>
        <r>
          <rPr>
            <b/>
            <sz val="10"/>
            <color rgb="FF000000"/>
            <rFont val="Tahoma"/>
            <family val="2"/>
          </rPr>
          <t xml:space="preserve">• Moldura delgada (sencilla/media/difícil): 5
</t>
        </r>
        <r>
          <rPr>
            <b/>
            <sz val="10"/>
            <color rgb="FF000000"/>
            <rFont val="Tahoma"/>
            <family val="2"/>
          </rPr>
          <t xml:space="preserve">• Moldura gruesa difícil: 10
</t>
        </r>
        <r>
          <rPr>
            <b/>
            <sz val="10"/>
            <color rgb="FF000000"/>
            <rFont val="Tahoma"/>
            <family val="2"/>
          </rPr>
          <t xml:space="preserve">• Fondo madera: hasta 122cm (ancho)
</t>
        </r>
        <r>
          <rPr>
            <b/>
            <sz val="10"/>
            <color rgb="FF000000"/>
            <rFont val="Tahoma"/>
            <family val="2"/>
          </rPr>
          <t xml:space="preserve">• Tubo colgar: escribe ESPECIAL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⚠️</t>
        </r>
        <r>
          <rPr>
            <b/>
            <sz val="10"/>
            <color rgb="FF000000"/>
            <rFont val="Tahoma"/>
            <family val="2"/>
          </rPr>
          <t xml:space="preserve"> Valores &gt;70cm aplican factor especial </t>
        </r>
        <r>
          <rPr>
            <b/>
            <sz val="10"/>
            <color rgb="FF000000"/>
            <rFont val="Tahoma"/>
            <family val="2"/>
          </rPr>
          <t>×</t>
        </r>
        <r>
          <rPr>
            <b/>
            <sz val="10"/>
            <color rgb="FF000000"/>
            <rFont val="Tahoma"/>
            <family val="2"/>
          </rPr>
          <t>1.30</t>
        </r>
      </text>
    </comment>
    <comment ref="D13" authorId="0" shapeId="0" xr:uid="{EE7C823D-312D-2D43-AB2C-03614B1D2FED}">
      <text>
        <r>
          <rPr>
            <b/>
            <sz val="10"/>
            <color rgb="FF000000"/>
            <rFont val="Tahoma"/>
            <family val="2"/>
          </rPr>
          <t>Daniel Torres:</t>
        </r>
        <r>
          <rPr>
            <sz val="10"/>
            <color rgb="FF000000"/>
            <rFont val="Tahoma"/>
            <family val="2"/>
          </rPr>
          <t xml:space="preserve">
Esta columna mide:
• Para Parales y Puertas → ALTO (de la base al cielo)
• Para Pisos, Cielos y Entrepaños → LARGO (de paral a paral)
• Para Cajón → ALTO de la cara frontal (típico: 16 o 22cm)
• Para Zapatera → ALTO (típico: 6cm)
• Para Tubo → LARGO del tubo en cm
⚠️ Si excede 244cm se aplica factor especial ×1.30</t>
        </r>
      </text>
    </comment>
    <comment ref="E13" authorId="0" shapeId="0" xr:uid="{655280FF-077E-FD40-91CC-08071ACB41D5}">
      <text>
        <r>
          <rPr>
            <b/>
            <sz val="10"/>
            <color rgb="FF000000"/>
            <rFont val="Tahoma"/>
            <family val="2"/>
          </rPr>
          <t>Daniel Torres:</t>
        </r>
        <r>
          <rPr>
            <sz val="10"/>
            <color rgb="FF000000"/>
            <rFont val="Tahoma"/>
            <family val="2"/>
          </rPr>
          <t xml:space="preserve">
Solo aplica para CAJÓN y ZAPATERA EXTRAÍBLE.
• CAJÓN: Profundidad del cajón, de 35 a 60cm (qué tanto se mete al closet). Afecta el costo de la corredera Y el costo de material.
• ZAPATERA: Profundidad de la corredera (55 para zapatera de 60cm, 60 para zapatera de 68cm).
• TODOS LOS DEMÁS: Selecciona — (guión). No aplica.</t>
        </r>
      </text>
    </comment>
  </commentList>
</comments>
</file>

<file path=xl/sharedStrings.xml><?xml version="1.0" encoding="utf-8"?>
<sst xmlns="http://schemas.openxmlformats.org/spreadsheetml/2006/main" count="3854" uniqueCount="1652">
  <si>
    <t>El FUO multiplica el costo del componente para obtener el precio de venta. Edita solo las celdas azules.</t>
  </si>
  <si>
    <t>NIVEL</t>
  </si>
  <si>
    <t>NOMBRE</t>
  </si>
  <si>
    <t>FACTOR FUO</t>
  </si>
  <si>
    <t>DESCRIPCIÓN / CUÁNDO USARLO</t>
  </si>
  <si>
    <t>IVA APLICADO</t>
  </si>
  <si>
    <t>BÁSICO</t>
  </si>
  <si>
    <t>ESTÁNDAR</t>
  </si>
  <si>
    <t>Proyectos intermedios: MDF lacado, herrajes de calidad media, diseño personalizado.</t>
  </si>
  <si>
    <t>PREMIUM</t>
  </si>
  <si>
    <t>ℹ️  El factor FUO incluye: costo de fabricación + mano de obra + gastos indirectos + utilidad. El IVA se aplica sobre el precio de venta al momento de facturar.</t>
  </si>
  <si>
    <t>Cada componente es una unidad cotizable (ej: PARAL, PUERTA, CAJÓN). Ingresa dimensión, material y clave de insumos. El costo base se calcula automáticamente desde INSUMOS.</t>
  </si>
  <si>
    <t>IDENTIFICACIÓN</t>
  </si>
  <si>
    <t>DIMENSIÓN / VARIANTE</t>
  </si>
  <si>
    <t>INSUMOS PRINCIPALES (CLAVE)</t>
  </si>
  <si>
    <t>COSTOS CALCULADOS</t>
  </si>
  <si>
    <t>CLAVE COMP.</t>
  </si>
  <si>
    <t>NOMBRE COMPONENTE</t>
  </si>
  <si>
    <t>ZONA/TIPO</t>
  </si>
  <si>
    <t>ALTO (cm)</t>
  </si>
  <si>
    <t>ANCHO (cm)</t>
  </si>
  <si>
    <t>PROF (cm)</t>
  </si>
  <si>
    <t>MATERIAL</t>
  </si>
  <si>
    <t>INSUMO 1</t>
  </si>
  <si>
    <t>INSUMO 2</t>
  </si>
  <si>
    <t>INSUMO 3</t>
  </si>
  <si>
    <t>COSTO MAT.</t>
  </si>
  <si>
    <t>COSTO MO</t>
  </si>
  <si>
    <t>COSTO TOTAL</t>
  </si>
  <si>
    <t>UNIDAD</t>
  </si>
  <si>
    <t>PAR-001</t>
  </si>
  <si>
    <t>PARAL DOBLE VISTA</t>
  </si>
  <si>
    <t>CUERPO</t>
  </si>
  <si>
    <t>ENCINO</t>
  </si>
  <si>
    <t>MAC001</t>
  </si>
  <si>
    <t>INS003</t>
  </si>
  <si>
    <t>BAR001</t>
  </si>
  <si>
    <t>PZA</t>
  </si>
  <si>
    <t>PAR-002</t>
  </si>
  <si>
    <t>PAR-003</t>
  </si>
  <si>
    <t>PAR-004</t>
  </si>
  <si>
    <t>PAR-010</t>
  </si>
  <si>
    <t>PARAL SIMPLE</t>
  </si>
  <si>
    <t>MDF LACADO</t>
  </si>
  <si>
    <t>MDF001</t>
  </si>
  <si>
    <t>BAR002</t>
  </si>
  <si>
    <t>PAR-011</t>
  </si>
  <si>
    <t>ENT-001</t>
  </si>
  <si>
    <t>ENTREPAÑO FIJO</t>
  </si>
  <si>
    <t>INS001</t>
  </si>
  <si>
    <t>ENT-002</t>
  </si>
  <si>
    <t>ENT-003</t>
  </si>
  <si>
    <t>ENTREPAÑO AJUSTABLE</t>
  </si>
  <si>
    <t>HER001</t>
  </si>
  <si>
    <t>CAJ-001</t>
  </si>
  <si>
    <t>CAJÓN SIMPLE</t>
  </si>
  <si>
    <t>CAJONES</t>
  </si>
  <si>
    <t>CAJ-002</t>
  </si>
  <si>
    <t>CAJÓN SOFT CLOSE</t>
  </si>
  <si>
    <t>HER002</t>
  </si>
  <si>
    <t>CAJ-003</t>
  </si>
  <si>
    <t>CAJÓN PROFUNDO</t>
  </si>
  <si>
    <t>PTA-001</t>
  </si>
  <si>
    <t>PUERTA ABATIBLE MDF</t>
  </si>
  <si>
    <t>PUERTAS</t>
  </si>
  <si>
    <t>HER010</t>
  </si>
  <si>
    <t>HER020</t>
  </si>
  <si>
    <t>PTA-002</t>
  </si>
  <si>
    <t>PUERTA ABATIBLE MACIZA</t>
  </si>
  <si>
    <t>PTA-003</t>
  </si>
  <si>
    <t>PUERTA CORREDERA MDF</t>
  </si>
  <si>
    <t>HER030</t>
  </si>
  <si>
    <t>HER031</t>
  </si>
  <si>
    <t>PTA-004</t>
  </si>
  <si>
    <t>PUERTA CORREDERA ESPEJO</t>
  </si>
  <si>
    <t>MELAMINA+ESPEJO</t>
  </si>
  <si>
    <t>MEL001</t>
  </si>
  <si>
    <t>ORG-001</t>
  </si>
  <si>
    <t>ZAPATERA</t>
  </si>
  <si>
    <t>ORGANIZACIÓN</t>
  </si>
  <si>
    <t>METÁLICA</t>
  </si>
  <si>
    <t>ACC001</t>
  </si>
  <si>
    <t>ORG-002</t>
  </si>
  <si>
    <t>CANASTO METÁLICO</t>
  </si>
  <si>
    <t>ACC002</t>
  </si>
  <si>
    <t>ORG-003</t>
  </si>
  <si>
    <t>SECCIÓN COLGAR LARGO</t>
  </si>
  <si>
    <t>ORG-004</t>
  </si>
  <si>
    <t>SECCIÓN COLGAR CORTO</t>
  </si>
  <si>
    <t>ILU-001</t>
  </si>
  <si>
    <t>ILUMINACIÓN LED 1m</t>
  </si>
  <si>
    <t>ILUMINACIÓN</t>
  </si>
  <si>
    <t>LED</t>
  </si>
  <si>
    <t>ACC010</t>
  </si>
  <si>
    <t>INS-001</t>
  </si>
  <si>
    <t>INSTALACIÓN CARPINTERÍA</t>
  </si>
  <si>
    <t>INSTALACIÓN</t>
  </si>
  <si>
    <t>—</t>
  </si>
  <si>
    <t>MO003</t>
  </si>
  <si>
    <t>INS-002</t>
  </si>
  <si>
    <t>INSTALACIÓN + BARNIZ</t>
  </si>
  <si>
    <t>MO002</t>
  </si>
  <si>
    <t>⚡  Agrega nuevos componentes aquí con su clave única. INSUMO 1/2/3 son las claves de la hoja INSUMOS para referencia. COSTO MAT y COSTO MO son inputs en azul (editables por el usuario).</t>
  </si>
  <si>
    <t>PROYECTO:</t>
  </si>
  <si>
    <t>FECHA:</t>
  </si>
  <si>
    <t>CLIENTE:</t>
  </si>
  <si>
    <t>COTIZACIÓN #:</t>
  </si>
  <si>
    <t>COT-2025-001</t>
  </si>
  <si>
    <t>DIRECCIÓN:</t>
  </si>
  <si>
    <t>NIVEL (FUO):</t>
  </si>
  <si>
    <t>ELABORÓ:</t>
  </si>
  <si>
    <t>Tu nombre</t>
  </si>
  <si>
    <t>VIGENCIA:</t>
  </si>
  <si>
    <t>30 días</t>
  </si>
  <si>
    <t>FACTOR FUO ACTIVO:</t>
  </si>
  <si>
    <t>IVA:</t>
  </si>
  <si>
    <t>#</t>
  </si>
  <si>
    <t>ZONA / ÁREA</t>
  </si>
  <si>
    <t>DESCRIPCIÓN</t>
  </si>
  <si>
    <t>CANTIDAD</t>
  </si>
  <si>
    <t>COSTO BASE</t>
  </si>
  <si>
    <t>SUBTOTAL</t>
  </si>
  <si>
    <t>NOTAS</t>
  </si>
  <si>
    <t>IVA (16%)</t>
  </si>
  <si>
    <t>TOTAL PROYECTO (con IVA)</t>
  </si>
  <si>
    <t>ANÁLISIS INTERNO DE MARGEN</t>
  </si>
  <si>
    <t>Costo total interno:</t>
  </si>
  <si>
    <t>Margen bruto:</t>
  </si>
  <si>
    <t>TIPO DE CAMBIO USD/MXN</t>
  </si>
  <si>
    <t>← Actualizar mensualmente</t>
  </si>
  <si>
    <t>LÍNEA</t>
  </si>
  <si>
    <t>SUBLÍNEA</t>
  </si>
  <si>
    <t>CLAVE</t>
  </si>
  <si>
    <t>PRECIO USD</t>
  </si>
  <si>
    <t>PRECIO MXN</t>
  </si>
  <si>
    <t>MERMA %</t>
  </si>
  <si>
    <t>MDF</t>
  </si>
  <si>
    <t>M2</t>
  </si>
  <si>
    <t>TRIPLAY</t>
  </si>
  <si>
    <t>MADERA</t>
  </si>
  <si>
    <t>HERRAJE</t>
  </si>
  <si>
    <t>CORREDERA</t>
  </si>
  <si>
    <t>PAR</t>
  </si>
  <si>
    <t>BISAGRA</t>
  </si>
  <si>
    <t>ACCESORIO</t>
  </si>
  <si>
    <t>BARNIZ</t>
  </si>
  <si>
    <t>LT</t>
  </si>
  <si>
    <t>LACA</t>
  </si>
  <si>
    <t>PEGAMENTO</t>
  </si>
  <si>
    <t>KG</t>
  </si>
  <si>
    <t>Diseño y Fabricación de Closets a la Medida</t>
  </si>
  <si>
    <t>PRECIO UNIT</t>
  </si>
  <si>
    <t>DESCUENTO</t>
  </si>
  <si>
    <t>TOTAL</t>
  </si>
  <si>
    <t>CONDICIONES</t>
  </si>
  <si>
    <t>• Anticipo del 50% para iniciar fabricación.</t>
  </si>
  <si>
    <t>• Saldo del 50% contra entrega e instalación.</t>
  </si>
  <si>
    <t>• Tiempo de fabricación: 3 a 5 semanas según complejidad.</t>
  </si>
  <si>
    <t>• Garantía de 1 año en herrajes y estructura.</t>
  </si>
  <si>
    <t>• Cotización válida por =COTIZADOR!I6 días a partir de la fecha de emisión.</t>
  </si>
  <si>
    <t>Firma y sello:</t>
  </si>
  <si>
    <t>Acepto y apruebo:</t>
  </si>
  <si>
    <t>PASO</t>
  </si>
  <si>
    <t>HOJA</t>
  </si>
  <si>
    <t>ACCIÓN</t>
  </si>
  <si>
    <t>FRECUENCIA</t>
  </si>
  <si>
    <t>INSUMOS</t>
  </si>
  <si>
    <t>Mensual / al cambiar precios</t>
  </si>
  <si>
    <t>FUO</t>
  </si>
  <si>
    <t>COMPONENTES</t>
  </si>
  <si>
    <t>COTIZADOR</t>
  </si>
  <si>
    <t>Por cada cotización</t>
  </si>
  <si>
    <t>PRESUPUESTO_CLIENTE</t>
  </si>
  <si>
    <t>Al entregar cotización</t>
  </si>
  <si>
    <t>CAJIGA — FACTORES DE UTILIDAD (FUO)</t>
  </si>
  <si>
    <t>CAJIGA — CATÁLOGO DE COMPONENTES</t>
  </si>
  <si>
    <t>CAJIGA — COTIZADOR DE CLOSETS (HOJA INTERNA)</t>
  </si>
  <si>
    <t>C A J I G A</t>
  </si>
  <si>
    <t>NOGAL</t>
  </si>
  <si>
    <t>HUANACAXTLE</t>
  </si>
  <si>
    <t>CONCEPTO</t>
  </si>
  <si>
    <t>FACTOR</t>
  </si>
  <si>
    <t>APLICA CUANDO</t>
  </si>
  <si>
    <t>ANCHO ESPECIAL</t>
  </si>
  <si>
    <t>Ancho &gt; 70 cm</t>
  </si>
  <si>
    <t>LARGO/ALTO ESPECIAL</t>
  </si>
  <si>
    <t>COMPONENTE</t>
  </si>
  <si>
    <t>CHAPA</t>
  </si>
  <si>
    <t>PULIDO</t>
  </si>
  <si>
    <t>ENTINTADO</t>
  </si>
  <si>
    <t>FONDO</t>
  </si>
  <si>
    <t>PREPARADO</t>
  </si>
  <si>
    <t>PARAL 1 VISTA</t>
  </si>
  <si>
    <t>PARAL 2 VISTAS</t>
  </si>
  <si>
    <t>PISO</t>
  </si>
  <si>
    <t>PISO CON ZOCLO</t>
  </si>
  <si>
    <t>CIELO</t>
  </si>
  <si>
    <t>ENTREPAÑO</t>
  </si>
  <si>
    <t>ENTREPAÑO LED</t>
  </si>
  <si>
    <t>CAJÓN</t>
  </si>
  <si>
    <t>PUERTA ABATIBLE</t>
  </si>
  <si>
    <t>PUERTA CORREDERA</t>
  </si>
  <si>
    <t>PUERTA ESPEJO</t>
  </si>
  <si>
    <t>TUBO COLGAR</t>
  </si>
  <si>
    <t>ANCHO</t>
  </si>
  <si>
    <t>ESPECIAL</t>
  </si>
  <si>
    <t>PROFUNDIDAD</t>
  </si>
  <si>
    <t>ALTO_CAJON</t>
  </si>
  <si>
    <t>LARGO/ALTO (cm)</t>
  </si>
  <si>
    <t>CANT.</t>
  </si>
  <si>
    <t>M²</t>
  </si>
  <si>
    <t>PRECIO c/FUO</t>
  </si>
  <si>
    <t>PRECIO REDON.</t>
  </si>
  <si>
    <t>DSCTO %</t>
  </si>
  <si>
    <t>Ingresa las HORAS (o minutos para CNC) que tarda cada área por componente. El costo se calcula automáticamente.</t>
  </si>
  <si>
    <t>PRECIO / HORA (O MINUTO) POR ÁREA</t>
  </si>
  <si>
    <t>CNC (min)</t>
  </si>
  <si>
    <t>HORAS POR COMPONENTE Y TAMAÑO (ingresa horas; para CNC ingresa minutos)</t>
  </si>
  <si>
    <t>TAMAÑO</t>
  </si>
  <si>
    <t>M² HASTA</t>
  </si>
  <si>
    <t>HABILIT.</t>
  </si>
  <si>
    <t>ENTINT.</t>
  </si>
  <si>
    <t>PUL.FON</t>
  </si>
  <si>
    <t>PREPAR.</t>
  </si>
  <si>
    <t>I.ARMAD</t>
  </si>
  <si>
    <t>I.BARN</t>
  </si>
  <si>
    <t>CHICO</t>
  </si>
  <si>
    <t>MEDIANO</t>
  </si>
  <si>
    <t>GRANDE</t>
  </si>
  <si>
    <t>⚡ CHICO = hasta 0.50 m² | MEDIANO = 0.51 a 1.00 m² | GRANDE = más de 1.00 m².  Puedes ajustar los límites en la columna "M² HASTA" (C). Ingresa HORAS en todas las áreas excepto CNC que es en MINUTOS.</t>
  </si>
  <si>
    <t>ARMADO GRAL</t>
  </si>
  <si>
    <t>PUL. FONDO</t>
  </si>
  <si>
    <t>BARNIZ COL.</t>
  </si>
  <si>
    <t>INST. ARMAD</t>
  </si>
  <si>
    <t>INST. BARN</t>
  </si>
  <si>
    <t>ARM.GRAL</t>
  </si>
  <si>
    <t xml:space="preserve"> y</t>
  </si>
  <si>
    <t>CAJIGA — COSTO DE MATERIAL + CONSUMIBLES POR M²</t>
  </si>
  <si>
    <t>Incluye triplay + chapa + madera maciza + MDF + consumibles de barniz (fondo, laca, tinta). Datos extraídos de la tabla de componentes real.</t>
  </si>
  <si>
    <t>HUANACAXTLE $/m²</t>
  </si>
  <si>
    <t>ENCINO $/m²</t>
  </si>
  <si>
    <t>NOGAL $/m²</t>
  </si>
  <si>
    <t>CONSUMIBLES $/m²</t>
  </si>
  <si>
    <t>PARAL 1 VISTA|CHICO</t>
  </si>
  <si>
    <t>PARAL 1 VISTA|MEDIANO</t>
  </si>
  <si>
    <t>PARAL 1 VISTA|GRANDE</t>
  </si>
  <si>
    <t>PARAL 2 VISTAS|CHICO</t>
  </si>
  <si>
    <t>PARAL 2 VISTAS|MEDIANO</t>
  </si>
  <si>
    <t>PARAL 2 VISTAS|GRANDE</t>
  </si>
  <si>
    <t>PISO|CHICO</t>
  </si>
  <si>
    <t>PISO|MEDIANO</t>
  </si>
  <si>
    <t>PISO|GRANDE</t>
  </si>
  <si>
    <t>PISO CON ZOCLO|CHICO</t>
  </si>
  <si>
    <t>PISO CON ZOCLO|MEDIANO</t>
  </si>
  <si>
    <t>PISO CON ZOCLO|GRANDE</t>
  </si>
  <si>
    <t>CIELO|CHICO</t>
  </si>
  <si>
    <t>CIELO|MEDIANO</t>
  </si>
  <si>
    <t>CIELO|GRANDE</t>
  </si>
  <si>
    <t>ENTREPAÑO|CHICO</t>
  </si>
  <si>
    <t>ENTREPAÑO|MEDIANO</t>
  </si>
  <si>
    <t>ENTREPAÑO|GRANDE</t>
  </si>
  <si>
    <t>ENTREPAÑO LED|CHICO</t>
  </si>
  <si>
    <t>ENTREPAÑO LED|MEDIANO</t>
  </si>
  <si>
    <t>ENTREPAÑO LED|GRANDE</t>
  </si>
  <si>
    <t>CAJÓN|CHICO</t>
  </si>
  <si>
    <t>CAJÓN|MEDIANO</t>
  </si>
  <si>
    <t>CAJÓN|GRANDE</t>
  </si>
  <si>
    <t>PUERTA ABATIBLE|CHICO</t>
  </si>
  <si>
    <t>PUERTA ABATIBLE|MEDIANO</t>
  </si>
  <si>
    <t>PUERTA ABATIBLE|GRANDE</t>
  </si>
  <si>
    <t>PUERTA CORREDERA|CHICO</t>
  </si>
  <si>
    <t>PUERTA CORREDERA|MEDIANO</t>
  </si>
  <si>
    <t>PUERTA CORREDERA|GRANDE</t>
  </si>
  <si>
    <t>PUERTA ESPEJO|CHICO</t>
  </si>
  <si>
    <t>PUERTA ESPEJO|MEDIANO</t>
  </si>
  <si>
    <t>PUERTA ESPEJO|GRANDE</t>
  </si>
  <si>
    <t>TUBO COLGAR|CHICO</t>
  </si>
  <si>
    <t>TUBO COLGAR|MEDIANO</t>
  </si>
  <si>
    <t>TUBO COLGAR|GRANDE</t>
  </si>
  <si>
    <t>FACTOR ESPECIAL</t>
  </si>
  <si>
    <t>FÁBRICA CAJIGA — CATÁLOGO MAESTRO DE INSUMOS</t>
  </si>
  <si>
    <t>368 insumos • 12 líneas • Precios en MXN • Actualizar precios en azul • Clave original conservada para cruce</t>
  </si>
  <si>
    <t>CLAVE ORIG.</t>
  </si>
  <si>
    <t>COSTO EFECT.</t>
  </si>
  <si>
    <t>USO</t>
  </si>
  <si>
    <t>🎨 BARNIZ (19 items)</t>
  </si>
  <si>
    <t>ACEITE</t>
  </si>
  <si>
    <t>BAR-ACE-002</t>
  </si>
  <si>
    <t>MYRV048</t>
  </si>
  <si>
    <t>ACEITE IMPREGNANTE CHOCOLATE  HI-0129.40</t>
  </si>
  <si>
    <t>BAR-ACE-001</t>
  </si>
  <si>
    <t>MYRV047</t>
  </si>
  <si>
    <t>ACEITE IMPREGNANTE NOGALCLASICO  HI-0115.40</t>
  </si>
  <si>
    <t>BAR-ACE-003</t>
  </si>
  <si>
    <t>MYRV049</t>
  </si>
  <si>
    <t>PROTECTOLACK TRANSPARENTE 20UB MATE  HI-0600.40</t>
  </si>
  <si>
    <t>Fb:0.4 | $66.08</t>
  </si>
  <si>
    <t>BAR-FON-002</t>
  </si>
  <si>
    <t>BFON011</t>
  </si>
  <si>
    <t>FONDO POLIACRILICO</t>
  </si>
  <si>
    <t>LT MEZCLA</t>
  </si>
  <si>
    <t>Fb:0.6 | $111.94</t>
  </si>
  <si>
    <t>BAR-FON-001</t>
  </si>
  <si>
    <t>BFON010</t>
  </si>
  <si>
    <t>FONDO POLIURETANO</t>
  </si>
  <si>
    <t>Fb:0.44 | $41.48</t>
  </si>
  <si>
    <t>HIDROLACA</t>
  </si>
  <si>
    <t>BAR-HID-001</t>
  </si>
  <si>
    <t>BLAC066</t>
  </si>
  <si>
    <t>BAR-LAC-005</t>
  </si>
  <si>
    <t>BLAC069</t>
  </si>
  <si>
    <t>AUTOLACK MEZCLA DE COLORES BROCHA</t>
  </si>
  <si>
    <t>Fb:0.37 | $37.65</t>
  </si>
  <si>
    <t>BAR-LAC-004</t>
  </si>
  <si>
    <t>BLAC067</t>
  </si>
  <si>
    <t>AUTOLACK MEZCLA DE COLORES PISTOLA</t>
  </si>
  <si>
    <t>Fb:0.93 | $94.65</t>
  </si>
  <si>
    <t>BAR-LAC-003</t>
  </si>
  <si>
    <t>BLAC064</t>
  </si>
  <si>
    <t>BICAPA</t>
  </si>
  <si>
    <t>Fb:0.4 | $68.59</t>
  </si>
  <si>
    <t>BAR-LAC-001</t>
  </si>
  <si>
    <t>BLAC062</t>
  </si>
  <si>
    <t>LACA ACRILICA</t>
  </si>
  <si>
    <t>Fb:0.93 | $89.84</t>
  </si>
  <si>
    <t>BAR-LAC-002</t>
  </si>
  <si>
    <t>BLAC063</t>
  </si>
  <si>
    <t>LACA MATE</t>
  </si>
  <si>
    <t>Fb:0.93 | $68.35</t>
  </si>
  <si>
    <t>POLYLACK</t>
  </si>
  <si>
    <t>BAR-PLK-001</t>
  </si>
  <si>
    <t>BLAC065</t>
  </si>
  <si>
    <t>POLYLACK  ( PAROTAS )</t>
  </si>
  <si>
    <t>Fb:0.36 | $46.70</t>
  </si>
  <si>
    <t>TINTA</t>
  </si>
  <si>
    <t>BAR-TIN-005</t>
  </si>
  <si>
    <t>BTIN70</t>
  </si>
  <si>
    <t>BONA NATURE</t>
  </si>
  <si>
    <t>BAR-TIN-001</t>
  </si>
  <si>
    <t>BTIN033</t>
  </si>
  <si>
    <t>TINTA TONO 1/ TZALAM COLOR (ALCOHOL)</t>
  </si>
  <si>
    <t>Fb:0.37 | $12.19</t>
  </si>
  <si>
    <t>BAR-TIN-002</t>
  </si>
  <si>
    <t>BTIN034</t>
  </si>
  <si>
    <t>TINTA TONO NOGAL COLOR</t>
  </si>
  <si>
    <t>Fb:0.37 | $20.85</t>
  </si>
  <si>
    <t>BAR-TIN-003</t>
  </si>
  <si>
    <t>BTIN035</t>
  </si>
  <si>
    <t>TINTA TONO 1/ TZALAM FONDO (ACEITE)</t>
  </si>
  <si>
    <t>Fb:0.37 | $13.24</t>
  </si>
  <si>
    <t>BAR-TIN-004</t>
  </si>
  <si>
    <t>BTIN036</t>
  </si>
  <si>
    <t>TINTA TONO NOGAL FONDO</t>
  </si>
  <si>
    <t>Fb:0.37 | $13.25</t>
  </si>
  <si>
    <t>VARIOS</t>
  </si>
  <si>
    <t>BAR-VAR-001</t>
  </si>
  <si>
    <t>SOL001</t>
  </si>
  <si>
    <t>THINNER AMERICANO</t>
  </si>
  <si>
    <t>BAR-VAR-002</t>
  </si>
  <si>
    <t>SOL002</t>
  </si>
  <si>
    <t>THINNER ESTANDAR</t>
  </si>
  <si>
    <t>🪵 MADERA (45 items)</t>
  </si>
  <si>
    <t>MAD-CHP-001</t>
  </si>
  <si>
    <t>ACHA048</t>
  </si>
  <si>
    <t>CHAPA ENCINO ROJO</t>
  </si>
  <si>
    <t>MAD-CHP-005</t>
  </si>
  <si>
    <t>ACHA052</t>
  </si>
  <si>
    <t>CHAPA HUANACAXTLE</t>
  </si>
  <si>
    <t>MAD-CHP-002</t>
  </si>
  <si>
    <t>ACHA049</t>
  </si>
  <si>
    <t>CHAPA NOGAL NATURAL</t>
  </si>
  <si>
    <t>MAD-CHP-003</t>
  </si>
  <si>
    <t>ACHA050</t>
  </si>
  <si>
    <t>CHAPA OKUME T.A. X 2.50</t>
  </si>
  <si>
    <t>MAD-CHP-004</t>
  </si>
  <si>
    <t>ACHA051</t>
  </si>
  <si>
    <t>CHAPA TZALAM</t>
  </si>
  <si>
    <t>GUALDRA</t>
  </si>
  <si>
    <t>MAD-GUA-001</t>
  </si>
  <si>
    <t>AMAG006</t>
  </si>
  <si>
    <t>TABLA DE LA GUALDRA</t>
  </si>
  <si>
    <t>PIE</t>
  </si>
  <si>
    <t>MAD-MAC-004</t>
  </si>
  <si>
    <t>AMAA004</t>
  </si>
  <si>
    <t>MADERA  POPLAR ESFUTADO  (ALAMO )1"  4/4 1COMUN</t>
  </si>
  <si>
    <t>MAD-MAC-003</t>
  </si>
  <si>
    <t>AMAA001</t>
  </si>
  <si>
    <t>MADERA  POPLAR ESFUTADO  (ALAMO )1"  4/4 2C</t>
  </si>
  <si>
    <t>MAD-MAC-005</t>
  </si>
  <si>
    <t>AMAA002</t>
  </si>
  <si>
    <t>MADERA DE ALAMO 1 1/2"  6/4  1COMUN</t>
  </si>
  <si>
    <t>MAD-MAC-001</t>
  </si>
  <si>
    <t>AMAE001</t>
  </si>
  <si>
    <t>MADERA DE ENCINO ROJO FAS 4/4"  1"</t>
  </si>
  <si>
    <t>MAD-MAC-002</t>
  </si>
  <si>
    <t>AMAE002</t>
  </si>
  <si>
    <t>MADERA DE ENCINO ROJO FAS 6/4"  1 1/2"</t>
  </si>
  <si>
    <t>MAD-MAC-012</t>
  </si>
  <si>
    <t>AMAH001</t>
  </si>
  <si>
    <t>MADERA HUACASTLE 1"</t>
  </si>
  <si>
    <t>MAD-MAC-014</t>
  </si>
  <si>
    <t>AMAH003</t>
  </si>
  <si>
    <t>MADERA HUACASTLE 2"</t>
  </si>
  <si>
    <t>MAD-MAC-013</t>
  </si>
  <si>
    <t>AMAH002</t>
  </si>
  <si>
    <t>MADERA HUANACASTLE 1 1/2</t>
  </si>
  <si>
    <t>MAD-MAC-011</t>
  </si>
  <si>
    <t>AMAN002</t>
  </si>
  <si>
    <t>MADERA NOGAL 1 1/2"</t>
  </si>
  <si>
    <t>MAD-MAC-010</t>
  </si>
  <si>
    <t>AMAN001</t>
  </si>
  <si>
    <t>MADERA NOGAL 1"</t>
  </si>
  <si>
    <t>MAD-MAC-008</t>
  </si>
  <si>
    <t>AMAT002</t>
  </si>
  <si>
    <t>MADERA TZALAM 1 1/2"</t>
  </si>
  <si>
    <t>MAD-MAC-007</t>
  </si>
  <si>
    <t>AMAT001</t>
  </si>
  <si>
    <t>MADERA TZALAM 1"</t>
  </si>
  <si>
    <t>MAD-MAC-009</t>
  </si>
  <si>
    <t>AMAT003</t>
  </si>
  <si>
    <t>MADERA TZALAM 2"</t>
  </si>
  <si>
    <t>MAD-MAC-006</t>
  </si>
  <si>
    <t>AMAA003</t>
  </si>
  <si>
    <t>POPLAR ESTUFADO 2" (ALAMO)  8/4</t>
  </si>
  <si>
    <t>MAD-MDF-003</t>
  </si>
  <si>
    <t>AMDFN011</t>
  </si>
  <si>
    <t>MDF NATURAL  12 MM LIG. 1.22 X 2.44</t>
  </si>
  <si>
    <t>MAD-MDF-004</t>
  </si>
  <si>
    <t>AMDFN012</t>
  </si>
  <si>
    <t>MDF NATURAL 18 MM ESP 1.22 X 2.44</t>
  </si>
  <si>
    <t>MAD-MDF-002</t>
  </si>
  <si>
    <t>AMDFN010</t>
  </si>
  <si>
    <t>MDF NATURAL 5.5 MM ST. 1.22X2.44</t>
  </si>
  <si>
    <t>MAD-MDF-001</t>
  </si>
  <si>
    <t>AMDFN009</t>
  </si>
  <si>
    <t>MDF NATURAL TRUPAN 3 MM 1.22 X 2.44</t>
  </si>
  <si>
    <t>MDFE</t>
  </si>
  <si>
    <t>MAD-MDE-001</t>
  </si>
  <si>
    <t>AMDFE011</t>
  </si>
  <si>
    <t>MDF ENCHAPADO ENCINO 12mm</t>
  </si>
  <si>
    <t>MAD-MDE-002</t>
  </si>
  <si>
    <t>AMDFE019</t>
  </si>
  <si>
    <t>MDF ENCHAPADO ENCINO 19mm</t>
  </si>
  <si>
    <t>MAD-MDE-004</t>
  </si>
  <si>
    <t>AMDFE026</t>
  </si>
  <si>
    <t>MDF ENCHAPADO NOGAL 12 mm</t>
  </si>
  <si>
    <t>MAD-MDE-007</t>
  </si>
  <si>
    <t>AMDFE016</t>
  </si>
  <si>
    <t>MDF ENCHAPADO NOGAL 12mm</t>
  </si>
  <si>
    <t>MAD-MDE-005</t>
  </si>
  <si>
    <t>AMDFE027</t>
  </si>
  <si>
    <t>MDF ENCHAPADO NOGAL 18 mm</t>
  </si>
  <si>
    <t>MAD-MDE-006</t>
  </si>
  <si>
    <t>AMDFE028</t>
  </si>
  <si>
    <t>MDF ENCHAPADO NOGAL 18 mm 2/C IMAZA</t>
  </si>
  <si>
    <t>MAD-MDE-008</t>
  </si>
  <si>
    <t>AMDFE004</t>
  </si>
  <si>
    <t>MDF ENCHAPADO NOGAL 19mm (MORI)</t>
  </si>
  <si>
    <t>MAD-MDE-003</t>
  </si>
  <si>
    <t>AMDFE025</t>
  </si>
  <si>
    <t>MDF ENCHAPADO NOGAL 5.5mm IMAZA</t>
  </si>
  <si>
    <t>MAD-MDE-009</t>
  </si>
  <si>
    <t>AMDF001</t>
  </si>
  <si>
    <t>MDF ENCHAPADO OKUME 12 MM</t>
  </si>
  <si>
    <t>MAD-MDE-010</t>
  </si>
  <si>
    <t>AMDFE006</t>
  </si>
  <si>
    <t>MDF ENCHAPADO OKUME 19mm</t>
  </si>
  <si>
    <t>POLIN</t>
  </si>
  <si>
    <t>MAD-POL-001</t>
  </si>
  <si>
    <t>AMAP006</t>
  </si>
  <si>
    <t>POLINES</t>
  </si>
  <si>
    <t>TABLON</t>
  </si>
  <si>
    <t>MAD-TAB-001</t>
  </si>
  <si>
    <t>AMAP001</t>
  </si>
  <si>
    <t>TABLON DE PAROTA</t>
  </si>
  <si>
    <t>MAD-TRI-004</t>
  </si>
  <si>
    <t>AMDFN013</t>
  </si>
  <si>
    <t>MDF NATURAL 25 MM LIG.</t>
  </si>
  <si>
    <t>MAD-TRI-002</t>
  </si>
  <si>
    <t>ATROSB01</t>
  </si>
  <si>
    <t>OSB 18 MM AM 1.22 X 2.44</t>
  </si>
  <si>
    <t>MAD-TRI-003</t>
  </si>
  <si>
    <t>ATRP002</t>
  </si>
  <si>
    <t>T. PINO 18 MM  ARAUCO CD  1.22 X 2.44</t>
  </si>
  <si>
    <t>MAD-TRI-005</t>
  </si>
  <si>
    <t>ATRE005</t>
  </si>
  <si>
    <t>TRIPLAY ENCINO ROJO 4.8 mm MULTIPLY</t>
  </si>
  <si>
    <t>MAD-TRI-008</t>
  </si>
  <si>
    <t>ATRH001</t>
  </si>
  <si>
    <t>TRIPLAY HUANACASTLE 6 MM</t>
  </si>
  <si>
    <t>MAD-TRI-006</t>
  </si>
  <si>
    <t>ATRN001</t>
  </si>
  <si>
    <t>TRIPLAY NOGAL 4.8 mm</t>
  </si>
  <si>
    <t>MAD-TRI-007</t>
  </si>
  <si>
    <t>ATRO003</t>
  </si>
  <si>
    <t>TRIPLAY OKUME  4.8 MM</t>
  </si>
  <si>
    <t>MAD-TRI-009</t>
  </si>
  <si>
    <t>ATRT006</t>
  </si>
  <si>
    <t>TRIPLAY TZALAM 6 MM (1.22 X 2.44 ROSEWOOD )</t>
  </si>
  <si>
    <t>MAD-TRI-001</t>
  </si>
  <si>
    <t>ATRT001</t>
  </si>
  <si>
    <t>TRIPLAY TZALAM 6mm 244L</t>
  </si>
  <si>
    <t>🔩 HERRAJE (46 items)</t>
  </si>
  <si>
    <t>HER-BIS-001</t>
  </si>
  <si>
    <t>MYRV584</t>
  </si>
  <si>
    <t>BISAGRA ACERO INOX 3" X 3"</t>
  </si>
  <si>
    <t>HER-BIS-002</t>
  </si>
  <si>
    <t>MYRV585</t>
  </si>
  <si>
    <t>BISAGRA ACERO INOX 4" X 4"</t>
  </si>
  <si>
    <t>HER-BIS-007</t>
  </si>
  <si>
    <t>MYR112</t>
  </si>
  <si>
    <t>BISAGRA COBERTURA COMPLETA 30 mm</t>
  </si>
  <si>
    <t>HER-BIS-008</t>
  </si>
  <si>
    <t>MYR114</t>
  </si>
  <si>
    <t>BISAGRA MEDIA COBERTURA 30 mm</t>
  </si>
  <si>
    <t>HER-BIS-003</t>
  </si>
  <si>
    <t>MYRV086</t>
  </si>
  <si>
    <t>BISAGRA OCULTA CROMO 080-0063</t>
  </si>
  <si>
    <t>HER-BIS-006</t>
  </si>
  <si>
    <t>MYRV586</t>
  </si>
  <si>
    <t>BISAGRA OCULTA CROMO 080-0065 116 MM</t>
  </si>
  <si>
    <t>HER-BIS-009</t>
  </si>
  <si>
    <t>MYR116</t>
  </si>
  <si>
    <t>BISAGRA SIN COBERTURA 30 mm</t>
  </si>
  <si>
    <t>HER-BIS-004</t>
  </si>
  <si>
    <t>MYRV089</t>
  </si>
  <si>
    <t>SN BISAGRA OCULTA CROMO 43.7 MM  080-0061</t>
  </si>
  <si>
    <t>HER-BIS-005</t>
  </si>
  <si>
    <t>MYRV090</t>
  </si>
  <si>
    <t>SN BISAGRA OCULTA CROMO 60.4 MM</t>
  </si>
  <si>
    <t>BRIDA</t>
  </si>
  <si>
    <t>HER-BRI-001</t>
  </si>
  <si>
    <t>HHER008</t>
  </si>
  <si>
    <t>BRIDA OVALADA CROMADA NÍQUEL</t>
  </si>
  <si>
    <t>CERRADURA</t>
  </si>
  <si>
    <t>HER-CER-002</t>
  </si>
  <si>
    <t>MYRV581</t>
  </si>
  <si>
    <t>CERRADURA GANCHO ACERO INOX 1684CH</t>
  </si>
  <si>
    <t>HER-CER-001</t>
  </si>
  <si>
    <t>MYRV534</t>
  </si>
  <si>
    <t>CILINDRO KL106 90 MM 45 X 45 LLAVE LLAVE SATIN</t>
  </si>
  <si>
    <t>HER-CER-004</t>
  </si>
  <si>
    <t>MYRV583</t>
  </si>
  <si>
    <t>MANIJA ARGOS ACE. INOX PARA RECAMARA</t>
  </si>
  <si>
    <t>JGO</t>
  </si>
  <si>
    <t>HER-CER-003</t>
  </si>
  <si>
    <t>MYRV582</t>
  </si>
  <si>
    <t>MANIJA ARGOS ACE. INOX. PARA BAÑO</t>
  </si>
  <si>
    <t>CONTRA</t>
  </si>
  <si>
    <t>HER-CON-001</t>
  </si>
  <si>
    <t>MYR117</t>
  </si>
  <si>
    <t>CONTRAS DE BISAGRAS</t>
  </si>
  <si>
    <t>HER-COR-013</t>
  </si>
  <si>
    <t>MYR023</t>
  </si>
  <si>
    <t>CORREDERA  16" PUERTA OCULTA KV  40 CM</t>
  </si>
  <si>
    <t>HER-COR-011</t>
  </si>
  <si>
    <t>MYR021</t>
  </si>
  <si>
    <t>CORREDERA 12" PUERTA OCULTA KV</t>
  </si>
  <si>
    <t>HER-COR-012</t>
  </si>
  <si>
    <t>MYR022</t>
  </si>
  <si>
    <t>CORREDERA 14" PUERTA OCULTA KV  35 CM</t>
  </si>
  <si>
    <t>HER-COR-014</t>
  </si>
  <si>
    <t>MYR024</t>
  </si>
  <si>
    <t>CORREDERA 18" PUERTA OCULTA KV  45 CM</t>
  </si>
  <si>
    <t>HER-COR-015</t>
  </si>
  <si>
    <t>MYR025</t>
  </si>
  <si>
    <t>CORREDERA 20" PUERTA OCULTA KV  50 CM</t>
  </si>
  <si>
    <t>HER-COR-001</t>
  </si>
  <si>
    <t>MYRV577</t>
  </si>
  <si>
    <t>CORREDERA EXTENCION PUSH 35 CM</t>
  </si>
  <si>
    <t>HER-COR-002</t>
  </si>
  <si>
    <t>MYRV537</t>
  </si>
  <si>
    <t>CORREDERA EXTENCION PUSH 40 CM</t>
  </si>
  <si>
    <t>HER-COR-003</t>
  </si>
  <si>
    <t>MYR013</t>
  </si>
  <si>
    <t>CORREDERA EXTENSIÓN TOTAL 25 CMS</t>
  </si>
  <si>
    <t>HER-COR-004</t>
  </si>
  <si>
    <t>MYR014</t>
  </si>
  <si>
    <t>CORREDERA EXTENSIÓN TOTAL 30 CMS</t>
  </si>
  <si>
    <t>HER-COR-005</t>
  </si>
  <si>
    <t>MYR015</t>
  </si>
  <si>
    <t>CORREDERA EXTENSIÓN TOTAL 35 CMS</t>
  </si>
  <si>
    <t>HER-COR-006</t>
  </si>
  <si>
    <t>MYR016</t>
  </si>
  <si>
    <t>CORREDERA EXTENSIÓN TOTAL 40 CMS</t>
  </si>
  <si>
    <t>HER-COR-007</t>
  </si>
  <si>
    <t>MYR017</t>
  </si>
  <si>
    <t>CORREDERA EXTENSIÓN TOTAL 45 CMS</t>
  </si>
  <si>
    <t>HER-COR-008</t>
  </si>
  <si>
    <t>MYR018</t>
  </si>
  <si>
    <t>CORREDERA EXTENSIÓN TOTAL 50 CMS</t>
  </si>
  <si>
    <t>HER-COR-009</t>
  </si>
  <si>
    <t>MYR019</t>
  </si>
  <si>
    <t>CORREDERA EXTENSIÓN TOTAL 55 CMS</t>
  </si>
  <si>
    <t>HER-COR-010</t>
  </si>
  <si>
    <t>MYR020</t>
  </si>
  <si>
    <t>CORREDERA EXTENSIÓN TOTAL 60 CMS</t>
  </si>
  <si>
    <t>CORREDIZO</t>
  </si>
  <si>
    <t>HER-CRZ-001</t>
  </si>
  <si>
    <t>MYRV463</t>
  </si>
  <si>
    <t>SET HERRAJE REGAL A 25 H PUERTA MADERA 25 KG (CYMISA)</t>
  </si>
  <si>
    <t>SET</t>
  </si>
  <si>
    <t>HER-HRJ-003</t>
  </si>
  <si>
    <t>MYR054</t>
  </si>
  <si>
    <t>MENSULAS NIQUELADA TIPO PALETA</t>
  </si>
  <si>
    <t>HER-HRJ-004</t>
  </si>
  <si>
    <t>MYR055</t>
  </si>
  <si>
    <t>PASACABLE NEGRO/CAFE 50 MMS.</t>
  </si>
  <si>
    <t>HER-HRJ-005</t>
  </si>
  <si>
    <t>MYR056</t>
  </si>
  <si>
    <t>PASACABLE NEGRO/CAFÉ 60 MMS.</t>
  </si>
  <si>
    <t>HER-HRJ-001</t>
  </si>
  <si>
    <t>MYRV738</t>
  </si>
  <si>
    <t>TOUCH PISTON BLUM CHICO</t>
  </si>
  <si>
    <t>HER-HRJ-002</t>
  </si>
  <si>
    <t>MYRV739</t>
  </si>
  <si>
    <t>TOUCH PISTON BLUM GRANDE</t>
  </si>
  <si>
    <t>OJILO</t>
  </si>
  <si>
    <t>HER-OJI-001</t>
  </si>
  <si>
    <t>HHER001</t>
  </si>
  <si>
    <t>OJILLO NIQUELADO</t>
  </si>
  <si>
    <t>PIJA</t>
  </si>
  <si>
    <t>HER-PIJ-007</t>
  </si>
  <si>
    <t>MYR819</t>
  </si>
  <si>
    <t>PIJA CUERDA 6X1/2 076-0101</t>
  </si>
  <si>
    <t>CTO</t>
  </si>
  <si>
    <t>HER-PIJ-008</t>
  </si>
  <si>
    <t>MYR820</t>
  </si>
  <si>
    <t>PIJA CUERDA 6X5/8 076-0102  300 CTO</t>
  </si>
  <si>
    <t>HER-PIJ-001</t>
  </si>
  <si>
    <t>MYR082</t>
  </si>
  <si>
    <t>TORNILLO CAB PHILLIPS 8 X 1 1/2" NEGRA</t>
  </si>
  <si>
    <t>HER-PIJ-002</t>
  </si>
  <si>
    <t>MYR083</t>
  </si>
  <si>
    <t>TORNILLO CAB PHILLIPS 8 X 1 1/4" NEGRA</t>
  </si>
  <si>
    <t>HER-PIJ-003</t>
  </si>
  <si>
    <t>MYR092</t>
  </si>
  <si>
    <t>TORNILLO CONECTOR 1/4 X20X50 MM 2"</t>
  </si>
  <si>
    <t>HER-PIJ-004</t>
  </si>
  <si>
    <t>MYR093</t>
  </si>
  <si>
    <t>TORNILLO CONECTOR 1/4X20X60MM 2 1/2"</t>
  </si>
  <si>
    <t>HER-PIJ-006</t>
  </si>
  <si>
    <t>MYR437</t>
  </si>
  <si>
    <t>TORNILLO PARA CUNA 3 1/2" CONECTOR</t>
  </si>
  <si>
    <t>HER-PIJ-005</t>
  </si>
  <si>
    <t>MYR146</t>
  </si>
  <si>
    <t>TORNILLO PARA CUNA 3" CONECTOR</t>
  </si>
  <si>
    <t>TUBO</t>
  </si>
  <si>
    <t>HER-TUB-001</t>
  </si>
  <si>
    <t>MYR094</t>
  </si>
  <si>
    <t>TUBO OVAL  6 MTS</t>
  </si>
  <si>
    <t>⚡ ELECTRICO (15 items)</t>
  </si>
  <si>
    <t>ELECTRICO</t>
  </si>
  <si>
    <t>APAGADOR</t>
  </si>
  <si>
    <t>ELE-APG-001</t>
  </si>
  <si>
    <t>MYRV354</t>
  </si>
  <si>
    <t>APAGADOR SIMON SENCILLO</t>
  </si>
  <si>
    <t>CABLE</t>
  </si>
  <si>
    <t>ELE-CAB-001</t>
  </si>
  <si>
    <t>MYR230</t>
  </si>
  <si>
    <t>CABLE CONDUMEX THHW 12 VERDE, BLANCO Y NEGRO</t>
  </si>
  <si>
    <t>MTS</t>
  </si>
  <si>
    <t>CON</t>
  </si>
  <si>
    <t>ELE-CON-003</t>
  </si>
  <si>
    <t>MYRV598</t>
  </si>
  <si>
    <t>CONTACTO LIVINGLIGHT DUPLEX</t>
  </si>
  <si>
    <t>CONECTOR</t>
  </si>
  <si>
    <t>ELE-CON-001</t>
  </si>
  <si>
    <t>MYRV351</t>
  </si>
  <si>
    <t>CONECTOR RAPIDO PARA TIRA LED 5050</t>
  </si>
  <si>
    <t>ELE-CON-002</t>
  </si>
  <si>
    <t>MYRV272</t>
  </si>
  <si>
    <t>CONECTOR TIRA LEDS AC -506-ACCON</t>
  </si>
  <si>
    <t>FUENTE</t>
  </si>
  <si>
    <t>ELE-FUE-001</t>
  </si>
  <si>
    <t>MYRV349</t>
  </si>
  <si>
    <t>FUENTE 40W</t>
  </si>
  <si>
    <t>ELE-FUE-002</t>
  </si>
  <si>
    <t>MYRV597</t>
  </si>
  <si>
    <t>FUENTE 60W</t>
  </si>
  <si>
    <t>MANGUERA</t>
  </si>
  <si>
    <t>ELE-MNG-001</t>
  </si>
  <si>
    <t>MYRV271</t>
  </si>
  <si>
    <t>MANGERA ACLDPB3014WW60R 506-ACLD</t>
  </si>
  <si>
    <t>TERMINADO</t>
  </si>
  <si>
    <t>ELE-TER-003</t>
  </si>
  <si>
    <t>MYRV601</t>
  </si>
  <si>
    <t>APAGADOR LIVINGLIGHT 4 V +</t>
  </si>
  <si>
    <t>ELE-TER-002</t>
  </si>
  <si>
    <t>MYRV600</t>
  </si>
  <si>
    <t>APAGADOR LIVINGLIGHT ESCALERA +</t>
  </si>
  <si>
    <t>ELE-TER-004</t>
  </si>
  <si>
    <t>MYRV602</t>
  </si>
  <si>
    <t>APAGADOR LIVINGLIGHT SENCILLO +</t>
  </si>
  <si>
    <t>ELE-TER-001</t>
  </si>
  <si>
    <t>MYRV599</t>
  </si>
  <si>
    <t>CONTACTO LIVINGLIGHT POLARIZADO 1-M+</t>
  </si>
  <si>
    <t>ELE-TER-006</t>
  </si>
  <si>
    <t>MYRV604</t>
  </si>
  <si>
    <t>MODULO LIVINGLIGHT CIEGO 1-M+</t>
  </si>
  <si>
    <t>ELE-TER-005</t>
  </si>
  <si>
    <t>MYRV603</t>
  </si>
  <si>
    <t>TOMA LIVINGLIGHT TELEFONO 1 MOD.+</t>
  </si>
  <si>
    <t>TIRA</t>
  </si>
  <si>
    <t>ELE-TIR-001</t>
  </si>
  <si>
    <t>MYR658</t>
  </si>
  <si>
    <t>TIRA LED HAFELE</t>
  </si>
  <si>
    <t>🪞 ESPEJO (12 items)</t>
  </si>
  <si>
    <t>ESPEJO</t>
  </si>
  <si>
    <t>CRISTAL</t>
  </si>
  <si>
    <t>ESP-CRI-005</t>
  </si>
  <si>
    <t>MYRV590</t>
  </si>
  <si>
    <t>CANTOS PULIDO 10 MM</t>
  </si>
  <si>
    <t>M LINEAL</t>
  </si>
  <si>
    <t>ESP-CRI-006</t>
  </si>
  <si>
    <t>MYRV591</t>
  </si>
  <si>
    <t>CANTOS PULIDO 12 MM</t>
  </si>
  <si>
    <t>ESP-CRI-007</t>
  </si>
  <si>
    <t>MYRV592</t>
  </si>
  <si>
    <t>CANTOS PULIDO 19 MM</t>
  </si>
  <si>
    <t>ESP-CRI-002</t>
  </si>
  <si>
    <t>MYRV587</t>
  </si>
  <si>
    <t>CRISTAL AL CORTE CLARO 10 MM</t>
  </si>
  <si>
    <t>ESP-CRI-003</t>
  </si>
  <si>
    <t>MYRV588</t>
  </si>
  <si>
    <t>CRISTAL AL CORTE CLARO 12 MM</t>
  </si>
  <si>
    <t>ESP-CRI-004</t>
  </si>
  <si>
    <t>MYRV589</t>
  </si>
  <si>
    <t>CRISTAL AL CORTE CLARO 19 MM</t>
  </si>
  <si>
    <t>ESP-CRI-001</t>
  </si>
  <si>
    <t>MYRV453</t>
  </si>
  <si>
    <t>CRISTAL FLOTADO CLARO 6 MM 180 X 260</t>
  </si>
  <si>
    <t>ESP-CRI-011</t>
  </si>
  <si>
    <t>MYRV596</t>
  </si>
  <si>
    <t>CRISTAL FLOTADO DIAMANTE 6MM X 321X225</t>
  </si>
  <si>
    <t>ESP-CRI-008</t>
  </si>
  <si>
    <t>MYRV593</t>
  </si>
  <si>
    <t>CRISTAL TEMPLADO 10 MM</t>
  </si>
  <si>
    <t>ESP-CRI-009</t>
  </si>
  <si>
    <t>MYRV594</t>
  </si>
  <si>
    <t>CRISTAL TEMPLADO 12 MM</t>
  </si>
  <si>
    <t>ESP-CRI-010</t>
  </si>
  <si>
    <t>MYRV595</t>
  </si>
  <si>
    <t>CRISTAL TEMPLADO 18 MM</t>
  </si>
  <si>
    <t>ESP-ESP-001</t>
  </si>
  <si>
    <t>MYRV452</t>
  </si>
  <si>
    <t>ESPEJO FLOTADO CLARO 6 MM 180 X 260</t>
  </si>
  <si>
    <t>📐 FORMAICA (6 items)</t>
  </si>
  <si>
    <t>FORMAICA</t>
  </si>
  <si>
    <t>FOR-LAM-006</t>
  </si>
  <si>
    <t>MYRV575</t>
  </si>
  <si>
    <t>FORMAICA LP BLANCO BRILLANTE 1101.31 .6 MM</t>
  </si>
  <si>
    <t>FOR-LAM-005</t>
  </si>
  <si>
    <t>MYRV574</t>
  </si>
  <si>
    <t>FORMAICA LP JAKARTA TEAK 778-37 .7 MM</t>
  </si>
  <si>
    <t>FOR-LAM-001</t>
  </si>
  <si>
    <t>MYR778</t>
  </si>
  <si>
    <t>L PLASTICO GRIS R TX</t>
  </si>
  <si>
    <t>FOR-LAM-002</t>
  </si>
  <si>
    <t>MYRV571</t>
  </si>
  <si>
    <t>L. PLASTICO ALUMINIO BRUSH 1.22 X 2.44</t>
  </si>
  <si>
    <t>FOR-LAM-003</t>
  </si>
  <si>
    <t>MYRV572</t>
  </si>
  <si>
    <t>L. PLASTICO NEGRO MATE 293  1.22 X 2.44</t>
  </si>
  <si>
    <t>FOR-LAM-004</t>
  </si>
  <si>
    <t>MYRV573</t>
  </si>
  <si>
    <t>L.PLASTICO NEGRO TOUCH 1.22 X 2.44</t>
  </si>
  <si>
    <t>🧱 MATERIALES (1 items)</t>
  </si>
  <si>
    <t>MATERIALES</t>
  </si>
  <si>
    <t>DUROCK</t>
  </si>
  <si>
    <t>MAT-DUR-001</t>
  </si>
  <si>
    <t>DUR001</t>
  </si>
  <si>
    <t>PLACA DE DUROCK 1.22 X 2.44</t>
  </si>
  <si>
    <t>⚙️ METAL (89 items)</t>
  </si>
  <si>
    <t>METAL</t>
  </si>
  <si>
    <t>ANGULO</t>
  </si>
  <si>
    <t>MET-ANG-012</t>
  </si>
  <si>
    <t>MYRV501</t>
  </si>
  <si>
    <t>ANGULO 1/4 X 4</t>
  </si>
  <si>
    <t>MET-ANG-003</t>
  </si>
  <si>
    <t>MYRV345</t>
  </si>
  <si>
    <t>ANGULO 1/8 X 1"</t>
  </si>
  <si>
    <t>MET-ANG-005</t>
  </si>
  <si>
    <t>MYR865</t>
  </si>
  <si>
    <t>ANGULO 1/8 X 1 1/2</t>
  </si>
  <si>
    <t>MET-ANG-004</t>
  </si>
  <si>
    <t>MYR629</t>
  </si>
  <si>
    <t>ANGULO 1/8 X 1 1/4</t>
  </si>
  <si>
    <t>MET-ANG-001</t>
  </si>
  <si>
    <t>MYRV559</t>
  </si>
  <si>
    <t>ANGULO 1/8 X 1/2</t>
  </si>
  <si>
    <t>MET-ANG-006</t>
  </si>
  <si>
    <t>MYRV179</t>
  </si>
  <si>
    <t>ANGULO 1/8 X 2</t>
  </si>
  <si>
    <t>MET-ANG-002</t>
  </si>
  <si>
    <t>MYRV566</t>
  </si>
  <si>
    <t>ANGULO 1/8 X 3/4</t>
  </si>
  <si>
    <t>MET-ANG-008</t>
  </si>
  <si>
    <t>MYR578</t>
  </si>
  <si>
    <t>ANGULO 3/16 X 1 1/2</t>
  </si>
  <si>
    <t>MET-ANG-007</t>
  </si>
  <si>
    <t>MYR336</t>
  </si>
  <si>
    <t>ANGULO 3/16 X 1 1/4</t>
  </si>
  <si>
    <t>MET-ANG-009</t>
  </si>
  <si>
    <t>MYR584</t>
  </si>
  <si>
    <t>ANGULO 3/16 X 2</t>
  </si>
  <si>
    <t>MET-ANG-010</t>
  </si>
  <si>
    <t>MYR553</t>
  </si>
  <si>
    <t>ANGULO 3/16 X 2 1/2</t>
  </si>
  <si>
    <t>MET-ANG-011</t>
  </si>
  <si>
    <t>MYRV347</t>
  </si>
  <si>
    <t>ANGULO 3/16 X 3</t>
  </si>
  <si>
    <t>CUADRADO</t>
  </si>
  <si>
    <t>MET-CUA-001</t>
  </si>
  <si>
    <t>MYRV348</t>
  </si>
  <si>
    <t>CUADRADO DE 1/2</t>
  </si>
  <si>
    <t>MET-CUA-002</t>
  </si>
  <si>
    <t>MYR571</t>
  </si>
  <si>
    <t>CUADRADO DE 3/8</t>
  </si>
  <si>
    <t>IPR</t>
  </si>
  <si>
    <t>MET-IPR-001</t>
  </si>
  <si>
    <t>MYR125</t>
  </si>
  <si>
    <t>IPR 3"</t>
  </si>
  <si>
    <t>LAMINA</t>
  </si>
  <si>
    <t>MET-LAM-001</t>
  </si>
  <si>
    <t>MYR860</t>
  </si>
  <si>
    <t>LAMINA ANTIDERRAPANTE 4 X 10 C-14</t>
  </si>
  <si>
    <t>MET-LAM-002</t>
  </si>
  <si>
    <t>MYRV554</t>
  </si>
  <si>
    <t>LAMINA NEGRA 4X10 (1.22X3.05) C-16/C-18</t>
  </si>
  <si>
    <t>MET-LAM-003</t>
  </si>
  <si>
    <t>MYRV556</t>
  </si>
  <si>
    <t>LAMINA NEGRA 3X8 (.90X2.44) C-16</t>
  </si>
  <si>
    <t>MET-LAM-004</t>
  </si>
  <si>
    <t>MYRV344</t>
  </si>
  <si>
    <t>LAMINA NEGRA 4X10 (1.22X3.05) C-20</t>
  </si>
  <si>
    <t>MET-LAM-005</t>
  </si>
  <si>
    <t>MYR861</t>
  </si>
  <si>
    <t>LAMINA NEGRA 4X8 (1.22X2.44) C-22</t>
  </si>
  <si>
    <t>MET-LAM-006</t>
  </si>
  <si>
    <t>MYR866</t>
  </si>
  <si>
    <t>LAMINA NEGRA 4X8 (1.22X2.44) C-20</t>
  </si>
  <si>
    <t>MET-LAM-007</t>
  </si>
  <si>
    <t>MYRV564</t>
  </si>
  <si>
    <t>LAMINA NEGRA 4X8 (1.22X2.44) C-14</t>
  </si>
  <si>
    <t>MET-LAM-008</t>
  </si>
  <si>
    <t>MYRV555</t>
  </si>
  <si>
    <t>LAMINA NEGRA 4X8 (1.22X2.44) C-16</t>
  </si>
  <si>
    <t>MET-LAM-009</t>
  </si>
  <si>
    <t>MYRV552</t>
  </si>
  <si>
    <t>LAMINA R-101 DE 3.05 MTS C-26 GALVA</t>
  </si>
  <si>
    <t>MALLA</t>
  </si>
  <si>
    <t>MET-MAL-001</t>
  </si>
  <si>
    <t>MYRV497</t>
  </si>
  <si>
    <t>ROLLO MALLA CINCLONICA 2.50 MTS C-11</t>
  </si>
  <si>
    <t>ROLLO</t>
  </si>
  <si>
    <t>MET-MAL-002</t>
  </si>
  <si>
    <t>MYR854</t>
  </si>
  <si>
    <t>ROLLO MALLA CICLON 2MTS 69 ABERT C-11</t>
  </si>
  <si>
    <t>MET-MAL-003</t>
  </si>
  <si>
    <t>MYR855</t>
  </si>
  <si>
    <t>ROLLO MALLA CICLON C-10.5 55X55MM 2MTS</t>
  </si>
  <si>
    <t>MET-MET-001</t>
  </si>
  <si>
    <t>MYR493</t>
  </si>
  <si>
    <t>METAL DESPLEGADO D19-20</t>
  </si>
  <si>
    <t>PLACA</t>
  </si>
  <si>
    <t>MET-PLA-001</t>
  </si>
  <si>
    <t>MYRV252</t>
  </si>
  <si>
    <t>PLACA 4X10 C-3/16</t>
  </si>
  <si>
    <t>MET-PLA-002</t>
  </si>
  <si>
    <t>MYRV561</t>
  </si>
  <si>
    <t>PLACA DE 3 X 10 C-3/8</t>
  </si>
  <si>
    <t>PTR</t>
  </si>
  <si>
    <t>MET-PTR-014</t>
  </si>
  <si>
    <t>MYR867</t>
  </si>
  <si>
    <t>PTR 3 X 3 C-7</t>
  </si>
  <si>
    <t>MET-PTR-009</t>
  </si>
  <si>
    <t>MYR298</t>
  </si>
  <si>
    <t>PTR 1 1/2 X 1 1/2 C-12</t>
  </si>
  <si>
    <t>MET-PTR-008</t>
  </si>
  <si>
    <t>MYR398</t>
  </si>
  <si>
    <t>PTR 1 1/2X1 1/2 C-14</t>
  </si>
  <si>
    <t>MET-PTR-001</t>
  </si>
  <si>
    <t>MYR887</t>
  </si>
  <si>
    <t>PTR 1 1/4 X 1 1/4 C-11</t>
  </si>
  <si>
    <t>MET-PTR-002</t>
  </si>
  <si>
    <t>MYR888</t>
  </si>
  <si>
    <t>PTR 1 1/4 X 1 1/4 C-12</t>
  </si>
  <si>
    <t>MET-PTR-007</t>
  </si>
  <si>
    <t>MYR868</t>
  </si>
  <si>
    <t>PTR 1 1/4 X 1 1/4 C-14</t>
  </si>
  <si>
    <t>MET-PTR-006</t>
  </si>
  <si>
    <t>MYR332</t>
  </si>
  <si>
    <t>PTR 1 X 1 C-14</t>
  </si>
  <si>
    <t>MET-PTR-003</t>
  </si>
  <si>
    <t>MYR889</t>
  </si>
  <si>
    <t>PTR 1 X 1 C-11</t>
  </si>
  <si>
    <t>MET-PTR-004</t>
  </si>
  <si>
    <t>MYR890</t>
  </si>
  <si>
    <t>PTR 1 X 1 C-12</t>
  </si>
  <si>
    <t>MET-PTR-013</t>
  </si>
  <si>
    <t>MYR845</t>
  </si>
  <si>
    <t>PTR 2 1/2 X 2 1/2 C-7</t>
  </si>
  <si>
    <t>MET-PTR-010</t>
  </si>
  <si>
    <t>MYR846</t>
  </si>
  <si>
    <t>PTR 2 X 2 CAL-10</t>
  </si>
  <si>
    <t>MET-PTR-011</t>
  </si>
  <si>
    <t>MYR261</t>
  </si>
  <si>
    <t>PTR 2X2 C-12</t>
  </si>
  <si>
    <t>MET-PTR-012</t>
  </si>
  <si>
    <t>MYR337</t>
  </si>
  <si>
    <t>PTR 2X2 C-14</t>
  </si>
  <si>
    <t>MET-PTR-015</t>
  </si>
  <si>
    <t>MYR849</t>
  </si>
  <si>
    <t>PTR 3 X 1 1/2 C-14</t>
  </si>
  <si>
    <t>MET-PTR-016</t>
  </si>
  <si>
    <t>MYRV568</t>
  </si>
  <si>
    <t>PTR 3 X 2 C-14</t>
  </si>
  <si>
    <t>MET-PTR-005</t>
  </si>
  <si>
    <t>MYR338</t>
  </si>
  <si>
    <t>PTR 3/4 X 3/4 C-14</t>
  </si>
  <si>
    <t>MET-PTR-017</t>
  </si>
  <si>
    <t>MYRV408</t>
  </si>
  <si>
    <t>PTR 4 X 2 C-10</t>
  </si>
  <si>
    <t>MET-PTR-018</t>
  </si>
  <si>
    <t>MYR3398</t>
  </si>
  <si>
    <t>PTR 4X4 C-10</t>
  </si>
  <si>
    <t>REDONDO</t>
  </si>
  <si>
    <t>MET-RED-001</t>
  </si>
  <si>
    <t>MYRV253</t>
  </si>
  <si>
    <t>REDONDO DE 1/2</t>
  </si>
  <si>
    <t>MET-RED-002</t>
  </si>
  <si>
    <t>MYRV563</t>
  </si>
  <si>
    <t>REDONDO PULIDO DE 5/16</t>
  </si>
  <si>
    <t>SEGUETA</t>
  </si>
  <si>
    <t>MET-SEG-001</t>
  </si>
  <si>
    <t>MYR331</t>
  </si>
  <si>
    <t>SEGUETA INFRA 18D DIENTE GRUESO</t>
  </si>
  <si>
    <t>MET-SEG-002</t>
  </si>
  <si>
    <t>MYR853</t>
  </si>
  <si>
    <t>SEGUETA LENOX 18-D DIENTE GRUESO</t>
  </si>
  <si>
    <t>SOLERA</t>
  </si>
  <si>
    <t>MET-SOL-024</t>
  </si>
  <si>
    <t>MYRV567</t>
  </si>
  <si>
    <t>SOLERA 1/2 X 3"</t>
  </si>
  <si>
    <t>MET-SOL-025</t>
  </si>
  <si>
    <t>MYR579</t>
  </si>
  <si>
    <t>SOLERA 1/2 X 6</t>
  </si>
  <si>
    <t>MET-SOL-014</t>
  </si>
  <si>
    <t>MYR335</t>
  </si>
  <si>
    <t>SOLERA 1/4 X 1</t>
  </si>
  <si>
    <t>MET-SOL-015</t>
  </si>
  <si>
    <t>MYR334</t>
  </si>
  <si>
    <t>SOLERA 1/4 X 1 1/2"</t>
  </si>
  <si>
    <t>MET-SOL-016</t>
  </si>
  <si>
    <t>MYR856</t>
  </si>
  <si>
    <t>SOLERA 1/4 X 2"</t>
  </si>
  <si>
    <t>MET-SOL-017</t>
  </si>
  <si>
    <t>MYR776</t>
  </si>
  <si>
    <t>SOLERA 1/4 X 3</t>
  </si>
  <si>
    <t>MET-SOL-018</t>
  </si>
  <si>
    <t>MYR340</t>
  </si>
  <si>
    <t>SOLERA 1/4 X 4</t>
  </si>
  <si>
    <t>MET-SOL-019</t>
  </si>
  <si>
    <t>MYR581</t>
  </si>
  <si>
    <t>SOLERA 1/4 X 6</t>
  </si>
  <si>
    <t>MET-SOL-004</t>
  </si>
  <si>
    <t>MYR858</t>
  </si>
  <si>
    <t>SOLERA 1/8 X 1 1/2"</t>
  </si>
  <si>
    <t>MET-SOL-003</t>
  </si>
  <si>
    <t>MYR775</t>
  </si>
  <si>
    <t>SOLERA 1/8 X 1 1/4"</t>
  </si>
  <si>
    <t>MET-SOL-002</t>
  </si>
  <si>
    <t>MYRV558</t>
  </si>
  <si>
    <t>SOLERA 1/8 X 1"</t>
  </si>
  <si>
    <t>MET-SOL-005</t>
  </si>
  <si>
    <t>MYRV496</t>
  </si>
  <si>
    <t>SOLERA 1/8 X 2</t>
  </si>
  <si>
    <t>MET-SOL-001</t>
  </si>
  <si>
    <t>MYRV549</t>
  </si>
  <si>
    <t>SOLERA 1/8 X 3/4</t>
  </si>
  <si>
    <t>MET-SOL-010</t>
  </si>
  <si>
    <t>MYR582</t>
  </si>
  <si>
    <t>SOLERA 3/16 X 1 1/2</t>
  </si>
  <si>
    <t>MET-SOL-009</t>
  </si>
  <si>
    <t>MYRV181</t>
  </si>
  <si>
    <t>SOLERA 3/16 X 1 1/4</t>
  </si>
  <si>
    <t>MET-SOL-008</t>
  </si>
  <si>
    <t>MYRV551</t>
  </si>
  <si>
    <t>SOLERA 3/16 X 1"</t>
  </si>
  <si>
    <t>MET-SOL-007</t>
  </si>
  <si>
    <t>MYR774</t>
  </si>
  <si>
    <t>SOLERA 3/16 X 1/2</t>
  </si>
  <si>
    <t>MET-SOL-011</t>
  </si>
  <si>
    <t>MYR773</t>
  </si>
  <si>
    <t>SOLERA 3/16 X 2</t>
  </si>
  <si>
    <t>MET-SOL-012</t>
  </si>
  <si>
    <t>MYR628</t>
  </si>
  <si>
    <t>SOLERA 3/16 X 2 1/2</t>
  </si>
  <si>
    <t>MET-SOL-013</t>
  </si>
  <si>
    <t>MYR772</t>
  </si>
  <si>
    <t>SOLERA 3/16 X 3</t>
  </si>
  <si>
    <t>MET-SOL-006</t>
  </si>
  <si>
    <t>MYR859</t>
  </si>
  <si>
    <t>SOLERA 3/16 X 3/4</t>
  </si>
  <si>
    <t>MET-SOL-020</t>
  </si>
  <si>
    <t>MYRV565</t>
  </si>
  <si>
    <t>SOLERA 3/8 X 2</t>
  </si>
  <si>
    <t>MET-SOL-021</t>
  </si>
  <si>
    <t>MYR583</t>
  </si>
  <si>
    <t>SOLERA 3/8 X 3</t>
  </si>
  <si>
    <t>MET-SOL-022</t>
  </si>
  <si>
    <t>MYR632</t>
  </si>
  <si>
    <t>SOLERA 3/8 X 4</t>
  </si>
  <si>
    <t>MET-SOL-023</t>
  </si>
  <si>
    <t>MYR580</t>
  </si>
  <si>
    <t>SOLERA 3/8 X 6</t>
  </si>
  <si>
    <t>TEJUELO</t>
  </si>
  <si>
    <t>MET-TEJ-001</t>
  </si>
  <si>
    <t>MYR851</t>
  </si>
  <si>
    <t>TEJUELO NEGRO DE 1 1/2"</t>
  </si>
  <si>
    <t>MET-TUB-001</t>
  </si>
  <si>
    <t>TUBO C-16 1/2"</t>
  </si>
  <si>
    <t>MET-TUB-002</t>
  </si>
  <si>
    <t>MYRV569</t>
  </si>
  <si>
    <t>TUBO C-16 2"</t>
  </si>
  <si>
    <t>MET-TUB-003</t>
  </si>
  <si>
    <t>MYRV570</t>
  </si>
  <si>
    <t>TUBO C-16 DE 3"</t>
  </si>
  <si>
    <t>MET-TUB-004</t>
  </si>
  <si>
    <t>MYR863</t>
  </si>
  <si>
    <t>TUBO C-16 DE 3/4"</t>
  </si>
  <si>
    <t>MET-TUB-006</t>
  </si>
  <si>
    <t>MYRV180</t>
  </si>
  <si>
    <t>TUBO CED-30 DE 1 1/2" LIGERO</t>
  </si>
  <si>
    <t>MET-TUB-007</t>
  </si>
  <si>
    <t>MYR333</t>
  </si>
  <si>
    <t>TUBO CED-40 DE 1/2"</t>
  </si>
  <si>
    <t>MET-TUB-005</t>
  </si>
  <si>
    <t>MYRV560</t>
  </si>
  <si>
    <t>TUBO CED. 30 DE 2"</t>
  </si>
  <si>
    <t>MET-TUB-008</t>
  </si>
  <si>
    <t>MYRV498</t>
  </si>
  <si>
    <t>TUBO GALVANIZADO C-18 DE 2"</t>
  </si>
  <si>
    <t>MET-TUB-009</t>
  </si>
  <si>
    <t>MYRV557</t>
  </si>
  <si>
    <t>TUBULAR NEGRO C-18 C-50 1/2 X 12</t>
  </si>
  <si>
    <t>VGA</t>
  </si>
  <si>
    <t>MET-VGA-001</t>
  </si>
  <si>
    <t>MYR630</t>
  </si>
  <si>
    <t>VIGA IPS 3"</t>
  </si>
  <si>
    <t>VIGA</t>
  </si>
  <si>
    <t>MET-VIG-001</t>
  </si>
  <si>
    <t>MYR847</t>
  </si>
  <si>
    <t>VIGA IPS 4"</t>
  </si>
  <si>
    <t>🗿 MARMOL (90 items)</t>
  </si>
  <si>
    <t>MARMOL</t>
  </si>
  <si>
    <t>MAR-ACC-001</t>
  </si>
  <si>
    <t>MYR279</t>
  </si>
  <si>
    <t>AGITADOR PLASTICO</t>
  </si>
  <si>
    <t>ACIDO</t>
  </si>
  <si>
    <t>MAR-ACI-001</t>
  </si>
  <si>
    <t>MYR286</t>
  </si>
  <si>
    <t>ACIDO MURIATICO</t>
  </si>
  <si>
    <t>ADAP.</t>
  </si>
  <si>
    <t>MAR-ADP-002</t>
  </si>
  <si>
    <t>MYR307</t>
  </si>
  <si>
    <t>ADAPTADOR PARA COPA DIAMANTE BOSCH</t>
  </si>
  <si>
    <t>MAR-ADP-001</t>
  </si>
  <si>
    <t>MYR297</t>
  </si>
  <si>
    <t>ADAPTADOR PARA DISCO PLANO BOSCH</t>
  </si>
  <si>
    <t>BROCA</t>
  </si>
  <si>
    <t>MAR-BRO-002</t>
  </si>
  <si>
    <t>MYR309</t>
  </si>
  <si>
    <t>BROCA DE DIAMANTE 1 1/2" PARA TALADRO</t>
  </si>
  <si>
    <t>MAR-BRO-003</t>
  </si>
  <si>
    <t>MYR447</t>
  </si>
  <si>
    <t>BROCA DE DIAMANTE 1 3/8" PARA TALADRO</t>
  </si>
  <si>
    <t>MAR-BRO-001</t>
  </si>
  <si>
    <t>MYR289</t>
  </si>
  <si>
    <t>BROCAS PARA CONCRETO 3/16X4"</t>
  </si>
  <si>
    <t>CATALIZADOR</t>
  </si>
  <si>
    <t>MAR-CAT-001</t>
  </si>
  <si>
    <t>MYR287</t>
  </si>
  <si>
    <t>CATALIZADOR BUTANOX M-50</t>
  </si>
  <si>
    <t>CEPILLO</t>
  </si>
  <si>
    <t>MAR-CEP-004</t>
  </si>
  <si>
    <t>MYR442</t>
  </si>
  <si>
    <t>CEPILLO 100MM GR-120 M14</t>
  </si>
  <si>
    <t>MAR-CEP-005</t>
  </si>
  <si>
    <t>MYR443</t>
  </si>
  <si>
    <t>CEPILLO 100MM GR-220 M14</t>
  </si>
  <si>
    <t>MAR-CEP-001</t>
  </si>
  <si>
    <t>MYR439</t>
  </si>
  <si>
    <t>CEPILLO 100MM GR-36 M14</t>
  </si>
  <si>
    <t>MAR-CEP-002</t>
  </si>
  <si>
    <t>MYR440</t>
  </si>
  <si>
    <t>CEPILLO 100MM GR-46 M14</t>
  </si>
  <si>
    <t>MAR-CEP-003</t>
  </si>
  <si>
    <t>MYR441</t>
  </si>
  <si>
    <t>CEPILLO 100MM GR-60 M14</t>
  </si>
  <si>
    <t>MAR-CEP-006</t>
  </si>
  <si>
    <t>MYR444</t>
  </si>
  <si>
    <t>CEPILLO 100MM GR-80 M14</t>
  </si>
  <si>
    <t>CINCEL</t>
  </si>
  <si>
    <t>MAR-CIN-001</t>
  </si>
  <si>
    <t>MYRV106</t>
  </si>
  <si>
    <t>CINCEL 12 MM</t>
  </si>
  <si>
    <t>MAR-CIN-002</t>
  </si>
  <si>
    <t>MYRV107</t>
  </si>
  <si>
    <t>CINCEL 25 MM</t>
  </si>
  <si>
    <t>COPA</t>
  </si>
  <si>
    <t>MAR-COP-004</t>
  </si>
  <si>
    <t>MYR378</t>
  </si>
  <si>
    <t>COPA ABRASIVA # 120 MCA. AUSTROMEX 345</t>
  </si>
  <si>
    <t>MAR-COP-005</t>
  </si>
  <si>
    <t>MYR379</t>
  </si>
  <si>
    <t>COPA ABRASIVA # 16 11 MCA. AUSTROMEX 358</t>
  </si>
  <si>
    <t>MAR-COP-006</t>
  </si>
  <si>
    <t>MYR380</t>
  </si>
  <si>
    <t>COPA ABRASIVA # 24 MCA. AUSTROMEX 346</t>
  </si>
  <si>
    <t>MAR-COP-002</t>
  </si>
  <si>
    <t>MYR376</t>
  </si>
  <si>
    <t>COPA ABRASIVA # 36 MCA. AUSTROMEX 349</t>
  </si>
  <si>
    <t>MAR-COP-001</t>
  </si>
  <si>
    <t>MYR375</t>
  </si>
  <si>
    <t>COPA ABRASIVA # 60 MCA. AUSTROMEX 351</t>
  </si>
  <si>
    <t>MAR-COP-003</t>
  </si>
  <si>
    <t>MYR377</t>
  </si>
  <si>
    <t>COPA ABRASIVA # 80 MCA. AUSTROMEX 360</t>
  </si>
  <si>
    <t>MAR-COP-008</t>
  </si>
  <si>
    <t>COPA DIA. DE 4" TURBO HIBRID C-R BOSCH GRUESA</t>
  </si>
  <si>
    <t>MAR-COP-007</t>
  </si>
  <si>
    <t>MYR278</t>
  </si>
  <si>
    <t>COPA SHELA BOSCH # 3</t>
  </si>
  <si>
    <t>DISCO</t>
  </si>
  <si>
    <t>MAR-DIS-005</t>
  </si>
  <si>
    <t>MYRV576</t>
  </si>
  <si>
    <t>DISCO DE DIAMANTE NSGPS 12" X 8MM P/GRANITO</t>
  </si>
  <si>
    <t>MAR-DIS-001</t>
  </si>
  <si>
    <t>MYR296</t>
  </si>
  <si>
    <t>DISCO DIA.TURBO E 7" P/GRANITO 421H</t>
  </si>
  <si>
    <t>MAR-DIS-003</t>
  </si>
  <si>
    <t>MYR769</t>
  </si>
  <si>
    <t>DISCO DIAM. E.D. 4.5" P/MARMOL</t>
  </si>
  <si>
    <t>MAR-DIS-002</t>
  </si>
  <si>
    <t>MYR799</t>
  </si>
  <si>
    <t>DISCO DIAM. E.D. 7" P/MARMOL 12A</t>
  </si>
  <si>
    <t>MAR-DIS-004</t>
  </si>
  <si>
    <t>MYR770</t>
  </si>
  <si>
    <t>DISCO DIAM. TURBO E 4.5" P/GRANITO</t>
  </si>
  <si>
    <t>ESMERIL</t>
  </si>
  <si>
    <t>MAR-ESM-001</t>
  </si>
  <si>
    <t>MYR262</t>
  </si>
  <si>
    <t>ESMERIL CARB. SIL. #60 EN POLVO</t>
  </si>
  <si>
    <t>FIBRA</t>
  </si>
  <si>
    <t>MAR-FIB-001</t>
  </si>
  <si>
    <t>MYR271</t>
  </si>
  <si>
    <t>COLCHONETA FIBRA DE VIDRIO</t>
  </si>
  <si>
    <t>LAZY</t>
  </si>
  <si>
    <t>MAR-LAZ-001</t>
  </si>
  <si>
    <t>HHER022</t>
  </si>
  <si>
    <t>LAZY SUSAN 18"</t>
  </si>
  <si>
    <t>MAR-MAL-001</t>
  </si>
  <si>
    <t>MYR448</t>
  </si>
  <si>
    <t>MALLA DE F.V. 40/286 DE 1X1= M2</t>
  </si>
  <si>
    <t>MAQUINA</t>
  </si>
  <si>
    <t>MAR-MAQ-001</t>
  </si>
  <si>
    <t>MYR732</t>
  </si>
  <si>
    <t>MAQUINAS DE SIERRA MAKITA</t>
  </si>
  <si>
    <t>MASILLA</t>
  </si>
  <si>
    <t>MAR-MAS-001</t>
  </si>
  <si>
    <t>MYR205</t>
  </si>
  <si>
    <t>PASTA MASILLA NATURAL SIN COLOR</t>
  </si>
  <si>
    <t>PADS</t>
  </si>
  <si>
    <t>MAR-PAD-002</t>
  </si>
  <si>
    <t>MYR314</t>
  </si>
  <si>
    <t>PADS PARA GRANITO EN HUMEDO #100</t>
  </si>
  <si>
    <t>MAR-PAD-006</t>
  </si>
  <si>
    <t>MYR318</t>
  </si>
  <si>
    <t>PADS PARA GRANITO EN HUMEDO #1500</t>
  </si>
  <si>
    <t>MAR-PAD-003</t>
  </si>
  <si>
    <t>MYR315</t>
  </si>
  <si>
    <t>PADS PARA GRANITO EN HUMEDO #200</t>
  </si>
  <si>
    <t>MAR-PAD-007</t>
  </si>
  <si>
    <t>MYR319</t>
  </si>
  <si>
    <t>PADS PARA GRANITO EN HUMEDO #3500</t>
  </si>
  <si>
    <t>MAR-PAD-004</t>
  </si>
  <si>
    <t>MYR316</t>
  </si>
  <si>
    <t>PADS PARA GRANITO EN HUMEDO #400</t>
  </si>
  <si>
    <t>MAR-PAD-001</t>
  </si>
  <si>
    <t>MYR313</t>
  </si>
  <si>
    <t>PADS PARA GRANITO EN HUMEDO #50</t>
  </si>
  <si>
    <t>MAR-PAD-005</t>
  </si>
  <si>
    <t>MYR317</t>
  </si>
  <si>
    <t>PADS PARA GRANITO EN HUMEDO #800</t>
  </si>
  <si>
    <t>MAR-PAD-008</t>
  </si>
  <si>
    <t>MYR320</t>
  </si>
  <si>
    <t>PADS PARA GRANITO EN HUMEDO BLACK BUFF</t>
  </si>
  <si>
    <t>PASTA</t>
  </si>
  <si>
    <t>MAR-PAS-001</t>
  </si>
  <si>
    <t>MYR446</t>
  </si>
  <si>
    <t>PASTA RELLENADORA C/ ENVASE</t>
  </si>
  <si>
    <t>MAR-PEG-001</t>
  </si>
  <si>
    <t>MYR204</t>
  </si>
  <si>
    <t>PEGAMENTO PARA MARMOL</t>
  </si>
  <si>
    <t>PIGMENTO</t>
  </si>
  <si>
    <t>MAR-PIG-005</t>
  </si>
  <si>
    <t>MYR269</t>
  </si>
  <si>
    <t>PIGMENTO AMARILLO OXIDO</t>
  </si>
  <si>
    <t>MAR-PIG-007</t>
  </si>
  <si>
    <t>MYR311</t>
  </si>
  <si>
    <t>PIGMENTO AZUL MARINO</t>
  </si>
  <si>
    <t>MAR-PIG-003</t>
  </si>
  <si>
    <t>MYR267</t>
  </si>
  <si>
    <t>PIGMENTO BEIGE OPACO</t>
  </si>
  <si>
    <t>MAR-PIG-001</t>
  </si>
  <si>
    <t>MYR265</t>
  </si>
  <si>
    <t>PIGMENTO BLANCO</t>
  </si>
  <si>
    <t>MAR-PIG-004</t>
  </si>
  <si>
    <t>MYR268</t>
  </si>
  <si>
    <t>PIGMENTO CAFÉ</t>
  </si>
  <si>
    <t>MAR-PIG-006</t>
  </si>
  <si>
    <t>MYR270</t>
  </si>
  <si>
    <t>PIGMENTO GRIS</t>
  </si>
  <si>
    <t>MAR-PIG-002</t>
  </si>
  <si>
    <t>MYR266</t>
  </si>
  <si>
    <t>PIGMENTO NEGRO</t>
  </si>
  <si>
    <t>MAR-PIG-008</t>
  </si>
  <si>
    <t>MYR312</t>
  </si>
  <si>
    <t>PIGMENTO VERDE PRIMAVERA</t>
  </si>
  <si>
    <t>PLACAS</t>
  </si>
  <si>
    <t>MAR-PLA-025</t>
  </si>
  <si>
    <t>MAR025</t>
  </si>
  <si>
    <t>ARABESCATO</t>
  </si>
  <si>
    <t>MAR-PLA-024</t>
  </si>
  <si>
    <t>MAR024</t>
  </si>
  <si>
    <t>BASALTINA</t>
  </si>
  <si>
    <t>MAR-PLA-027</t>
  </si>
  <si>
    <t>MAR027</t>
  </si>
  <si>
    <t>BLACK VERMONT</t>
  </si>
  <si>
    <t>MAR-PLA-021</t>
  </si>
  <si>
    <t>MAR021</t>
  </si>
  <si>
    <t>CALACATTA CARRARA BRILLADO</t>
  </si>
  <si>
    <t>MAR-PLA-029</t>
  </si>
  <si>
    <t>MAR029</t>
  </si>
  <si>
    <t>CALACATTA LINCOLN</t>
  </si>
  <si>
    <t>MAR-PLA-019</t>
  </si>
  <si>
    <t>MAR019</t>
  </si>
  <si>
    <t>EBONY FLAMEADO CEPILLADO</t>
  </si>
  <si>
    <t>MAR-PLA-011</t>
  </si>
  <si>
    <t>MAR011</t>
  </si>
  <si>
    <t>EBONY CRYSTAL CEP PLACA X 2 CM</t>
  </si>
  <si>
    <t>MAR-PLA-020</t>
  </si>
  <si>
    <t>MAR020</t>
  </si>
  <si>
    <t>ESTATUARIETO</t>
  </si>
  <si>
    <t>MAR-PLA-007</t>
  </si>
  <si>
    <t>MAR007</t>
  </si>
  <si>
    <t>GRANITO BLUE IN THE NIGHT</t>
  </si>
  <si>
    <t>MAR-PLA-008</t>
  </si>
  <si>
    <t>MAR008</t>
  </si>
  <si>
    <t>GRANITO LABRADOR CLARO</t>
  </si>
  <si>
    <t>MAR-PLA-003</t>
  </si>
  <si>
    <t>MAR003</t>
  </si>
  <si>
    <t>GRANITO NEGRO SAN GABRIEL</t>
  </si>
  <si>
    <t>MAR-PLA-006</t>
  </si>
  <si>
    <t>MAR006</t>
  </si>
  <si>
    <t>GRANITO STEEL GRAY</t>
  </si>
  <si>
    <t>MAR-PLA-028</t>
  </si>
  <si>
    <t>MAR028</t>
  </si>
  <si>
    <t>GRIGLIO CARNICO</t>
  </si>
  <si>
    <t>MAR-PLA-002</t>
  </si>
  <si>
    <t>MAR002</t>
  </si>
  <si>
    <t>MARMOL AMBER BROWN</t>
  </si>
  <si>
    <t>MAR-PLA-001</t>
  </si>
  <si>
    <t>MAR001</t>
  </si>
  <si>
    <t>MARMOL BAMBOO</t>
  </si>
  <si>
    <t>MAR-PLA-014</t>
  </si>
  <si>
    <t>MAR014</t>
  </si>
  <si>
    <t>MARMOL BLANCO CARRARA</t>
  </si>
  <si>
    <t>MAR-PLA-022</t>
  </si>
  <si>
    <t>MAR022</t>
  </si>
  <si>
    <t>MARMOL BLANCO GIOIA</t>
  </si>
  <si>
    <t>MAR-PLA-009</t>
  </si>
  <si>
    <t>MAR009</t>
  </si>
  <si>
    <t>MARMOL CREMA MARFIL</t>
  </si>
  <si>
    <t>MAR-PLA-005</t>
  </si>
  <si>
    <t>MAR005</t>
  </si>
  <si>
    <t>MARMOL TABACO</t>
  </si>
  <si>
    <t>MAR-PLA-030</t>
  </si>
  <si>
    <t>MARTIPO1</t>
  </si>
  <si>
    <t>MARMOL TIPO BASICO</t>
  </si>
  <si>
    <t>MAR-PLA-031</t>
  </si>
  <si>
    <t>MARTIPO2</t>
  </si>
  <si>
    <t>MARMOL TIPO BASICO PLUS</t>
  </si>
  <si>
    <t>MAR-PLA-032</t>
  </si>
  <si>
    <t>MARTIPO3</t>
  </si>
  <si>
    <t>MARMOL TIPO PREMIUM</t>
  </si>
  <si>
    <t>MAR-PLA-010</t>
  </si>
  <si>
    <t>MAR010</t>
  </si>
  <si>
    <t>MARMOL TITANIUM</t>
  </si>
  <si>
    <t>MAR-PLA-004</t>
  </si>
  <si>
    <t>MAR004</t>
  </si>
  <si>
    <t>MARMOL WOODEN GRAY (SILK GEORGETTE)</t>
  </si>
  <si>
    <t>MAR-PLA-026</t>
  </si>
  <si>
    <t>MAR026</t>
  </si>
  <si>
    <t>METALICUS</t>
  </si>
  <si>
    <t>MAR-PLA-012</t>
  </si>
  <si>
    <t>MAR012</t>
  </si>
  <si>
    <t>NERO DAVOLA FLAM.CEP. PLACA X 2 CM</t>
  </si>
  <si>
    <t>MAR-PLA-023</t>
  </si>
  <si>
    <t>MAR023</t>
  </si>
  <si>
    <t>NOCHE DORADO</t>
  </si>
  <si>
    <t>MAR-PLA-016</t>
  </si>
  <si>
    <t>MAR016</t>
  </si>
  <si>
    <t>PIETRA GREY</t>
  </si>
  <si>
    <t>MAR-PLA-018</t>
  </si>
  <si>
    <t>MAR018</t>
  </si>
  <si>
    <t>PORTUNO SILVER</t>
  </si>
  <si>
    <t>MAR-PLA-017</t>
  </si>
  <si>
    <t>MAR017</t>
  </si>
  <si>
    <t>TRAVERTINO OCEAN BLUE PULIDO MATE</t>
  </si>
  <si>
    <t>MAR-PLA-015</t>
  </si>
  <si>
    <t>MAR015</t>
  </si>
  <si>
    <t>TRAVERTINO SILVER</t>
  </si>
  <si>
    <t>MAR-PLA-013</t>
  </si>
  <si>
    <t>MAR013</t>
  </si>
  <si>
    <t>WOODEN WHITE</t>
  </si>
  <si>
    <t>REFACCION</t>
  </si>
  <si>
    <t>MAR-REF-001</t>
  </si>
  <si>
    <t>MYR280</t>
  </si>
  <si>
    <t>CARBONES P/BOSCH ESCOBILLA 209</t>
  </si>
  <si>
    <t>REPELENTE</t>
  </si>
  <si>
    <t>MAR-REP-002</t>
  </si>
  <si>
    <t>MYR308</t>
  </si>
  <si>
    <t>REPELENTE DU-POLIS C/E</t>
  </si>
  <si>
    <t>LTS</t>
  </si>
  <si>
    <t>MAR-REP-001</t>
  </si>
  <si>
    <t>MYR288</t>
  </si>
  <si>
    <t>REPELENTE ESPECIAL TM</t>
  </si>
  <si>
    <t>RESINA</t>
  </si>
  <si>
    <t>MAR-RES-001</t>
  </si>
  <si>
    <t>MYR264</t>
  </si>
  <si>
    <t>RESINA MR-260 PREPARADA</t>
  </si>
  <si>
    <t>SILICON</t>
  </si>
  <si>
    <t>MAR-SIL-001</t>
  </si>
  <si>
    <t>MYRV194</t>
  </si>
  <si>
    <t>SELLADOR DE SILICON TRANSPARENTE SISTA</t>
  </si>
  <si>
    <t>🧵 TAPIZ (43 items)</t>
  </si>
  <si>
    <t>TAPIZ</t>
  </si>
  <si>
    <t>TAP-ACC-001</t>
  </si>
  <si>
    <t>TCON001</t>
  </si>
  <si>
    <t>ACCESORIO CONECTOR 4 ORIFICIOS</t>
  </si>
  <si>
    <t>BANDASTIC</t>
  </si>
  <si>
    <t>TAP-BAN-001</t>
  </si>
  <si>
    <t>TBAN003</t>
  </si>
  <si>
    <t>BANDASTIC ELASTICA DEL 7 cm</t>
  </si>
  <si>
    <t>CIERRE</t>
  </si>
  <si>
    <t>TAP-CIE-001</t>
  </si>
  <si>
    <t>TCIE001</t>
  </si>
  <si>
    <t>CIERRE INVISIBLE VARIOS COLORES</t>
  </si>
  <si>
    <t>TAP-CIE-002</t>
  </si>
  <si>
    <t>TCIE002</t>
  </si>
  <si>
    <t>CIERRE NO. 5 VARIOS COLORES</t>
  </si>
  <si>
    <t>DELCRON</t>
  </si>
  <si>
    <t>TAP-DEL-001</t>
  </si>
  <si>
    <t>TDEL003</t>
  </si>
  <si>
    <t>DELCRON LAMINADO FIBER BOND U150/180 L9 rollo 50 mts</t>
  </si>
  <si>
    <t>TAP-FIB-001</t>
  </si>
  <si>
    <t>TFIB001</t>
  </si>
  <si>
    <t>FIBRA BA3ADW51000.9</t>
  </si>
  <si>
    <t>TAP-FIB-002</t>
  </si>
  <si>
    <t>TFIB002</t>
  </si>
  <si>
    <t>FIBRA VIRGEN MICROGEL 3 X 51</t>
  </si>
  <si>
    <t>TAP-HRJ-001</t>
  </si>
  <si>
    <t>TMEC002</t>
  </si>
  <si>
    <t>HERRAJE INDIVIDUAL MAXPLUS 2500 IND.</t>
  </si>
  <si>
    <t>TAP-HRJ-002</t>
  </si>
  <si>
    <t>TMEC003</t>
  </si>
  <si>
    <t>HERRAJE INDIVIDUAL MAXPLUS 7181 MATRIMONIAL</t>
  </si>
  <si>
    <t>TAP-HRJ-003</t>
  </si>
  <si>
    <t>TMEC004</t>
  </si>
  <si>
    <t>HERRAJE QUEEN MAXPLUS US 2500</t>
  </si>
  <si>
    <t>HILO</t>
  </si>
  <si>
    <t>TAP-HIL-006</t>
  </si>
  <si>
    <t>MYRV185</t>
  </si>
  <si>
    <t>HILAZA DE 1/2 KILO PZA.</t>
  </si>
  <si>
    <t>TAP-HIL-004</t>
  </si>
  <si>
    <t>THIL004</t>
  </si>
  <si>
    <t>HILO "00"</t>
  </si>
  <si>
    <t>TAP-HIL-003</t>
  </si>
  <si>
    <t>THIL003</t>
  </si>
  <si>
    <t>HILO HILAZA 16/16</t>
  </si>
  <si>
    <t>TAP-HIL-005</t>
  </si>
  <si>
    <t>MYRV371</t>
  </si>
  <si>
    <t>HILO MONOFIAMENTO CAL.10</t>
  </si>
  <si>
    <t>TAP-HIL-002</t>
  </si>
  <si>
    <t>THIL002</t>
  </si>
  <si>
    <t>HILO OMEGA CALIBRE 8 VARIOS COLORES</t>
  </si>
  <si>
    <t>TAP-HIL-001</t>
  </si>
  <si>
    <t>THIL001</t>
  </si>
  <si>
    <t>HILO PARA OVER</t>
  </si>
  <si>
    <t>HULE</t>
  </si>
  <si>
    <t>TAP-HUL-004</t>
  </si>
  <si>
    <t>THUL017</t>
  </si>
  <si>
    <t>FIRME DENSIDAD 20 KG LAMINADO 2.40X2.00X.025</t>
  </si>
  <si>
    <t>TAP-HUL-001</t>
  </si>
  <si>
    <t>MYR871</t>
  </si>
  <si>
    <t>HULE ESPUMA H.E. 1.90X1.20X.010 17 KG</t>
  </si>
  <si>
    <t>TAP-HUL-010</t>
  </si>
  <si>
    <t>MEMORY FOAM 40 KG 2.00X2.00X0.03</t>
  </si>
  <si>
    <t>TAP-HUL-011</t>
  </si>
  <si>
    <t>MEMORY FOAM 40 KG 2.00X2.00X0.05</t>
  </si>
  <si>
    <t>TAP-HUL-012</t>
  </si>
  <si>
    <t>TPAP001</t>
  </si>
  <si>
    <t>PAPEL CAPLE 90x125 CM 16 PUNTOS PQ5</t>
  </si>
  <si>
    <t>TAP-HUL-008</t>
  </si>
  <si>
    <t>THUL021</t>
  </si>
  <si>
    <t>STD DENSIDAD 24 KG LAMINADO 2.40X2.00X.07</t>
  </si>
  <si>
    <t>TAP-HUL-002</t>
  </si>
  <si>
    <t>THUL015</t>
  </si>
  <si>
    <t>STD DENSIDAD 24 KG LAMINADO 2.40X2.00X.025</t>
  </si>
  <si>
    <t>TAP-HUL-003</t>
  </si>
  <si>
    <t>THUL016</t>
  </si>
  <si>
    <t>STD DENSIDAD 24 KG LAMINADO 2.40X2.00X.05</t>
  </si>
  <si>
    <t>TAP-HUL-006</t>
  </si>
  <si>
    <t>THUL019</t>
  </si>
  <si>
    <t>STD DENSIDAD 27 KG LAMINADO 2.20X.73X.14</t>
  </si>
  <si>
    <t>TAP-HUL-005</t>
  </si>
  <si>
    <t>THUL018</t>
  </si>
  <si>
    <t>STD DENSIDAD 27 KG LAMINADO 2.40X2.00X.14</t>
  </si>
  <si>
    <t>TAP-HUL-007</t>
  </si>
  <si>
    <t>THUL020</t>
  </si>
  <si>
    <t>SUAVE DENSIDAD 24 KG LAMINADO 2.40X2.00X.05</t>
  </si>
  <si>
    <t>TAP-HUL-009</t>
  </si>
  <si>
    <t>THUL022</t>
  </si>
  <si>
    <t>SUAVE DENSIDAD 24 KG LAMINADO 2.40X2.00X.07</t>
  </si>
  <si>
    <t>MIMBRE</t>
  </si>
  <si>
    <t>TAP-MIM-002</t>
  </si>
  <si>
    <t>TMIM002</t>
  </si>
  <si>
    <t>MIMBRE PLASTIFICADO (SILLA)</t>
  </si>
  <si>
    <t>SILLA</t>
  </si>
  <si>
    <t>TAP-MIM-005</t>
  </si>
  <si>
    <t>TMIM005</t>
  </si>
  <si>
    <t>MIMBRE PLASTIFICADO (SILLON)</t>
  </si>
  <si>
    <t>SILLON</t>
  </si>
  <si>
    <t>TAP-MIM-003</t>
  </si>
  <si>
    <t>TMIM003</t>
  </si>
  <si>
    <t>TAPIZADO MIMBRE PLASTIFICADO (SILLA)</t>
  </si>
  <si>
    <t>TAP-MIM-006</t>
  </si>
  <si>
    <t>TMIM006</t>
  </si>
  <si>
    <t>TAPIZADO MIMBRE PLASTIFICADO (SILLON)</t>
  </si>
  <si>
    <t>TAP-MIM-001</t>
  </si>
  <si>
    <t>TMIM001</t>
  </si>
  <si>
    <t>TEJIDO Y MATERIAL MIMBRE NATURAL (SILLA)</t>
  </si>
  <si>
    <t>TAP-MIM-004</t>
  </si>
  <si>
    <t>TMIM004</t>
  </si>
  <si>
    <t>TEJIDO Y MATERIAL MIMBRE NATURAL (SILLON)</t>
  </si>
  <si>
    <t>TAP-PEG-002</t>
  </si>
  <si>
    <t>TPEG003</t>
  </si>
  <si>
    <t>PEGAMENTO DE CONTACTO PARA TAPICERO</t>
  </si>
  <si>
    <t>RAFIA</t>
  </si>
  <si>
    <t>TAP-RAF-001</t>
  </si>
  <si>
    <t>TRAF001</t>
  </si>
  <si>
    <t>TELA DE RAFIA .90</t>
  </si>
  <si>
    <t>TELA</t>
  </si>
  <si>
    <t>TAP-TEL-003</t>
  </si>
  <si>
    <t>THUL024</t>
  </si>
  <si>
    <t>AGLUTINADO 2.5 CM 140x200 60 KG DENSIDAD</t>
  </si>
  <si>
    <t>TAP-TEL-002</t>
  </si>
  <si>
    <t>THUL023</t>
  </si>
  <si>
    <t>AGLUTINADO 5 CM 140x200 60 KG DENSIDAD</t>
  </si>
  <si>
    <t>TAP-TEL-001</t>
  </si>
  <si>
    <t>TBRA001</t>
  </si>
  <si>
    <t>BRAMANTE 30% ALGODÓN 70% POL. 144 HILOS BLANCO</t>
  </si>
  <si>
    <t>TAP-TEL-004</t>
  </si>
  <si>
    <t>TPOQ001</t>
  </si>
  <si>
    <t>POPELINA BLANCA (mala)</t>
  </si>
  <si>
    <t>TAP-TIR-001</t>
  </si>
  <si>
    <t>TTRI003</t>
  </si>
  <si>
    <t>TIRA TACHUELADA CON FUNDA</t>
  </si>
  <si>
    <t>VELCRON</t>
  </si>
  <si>
    <t>TAP-VEL-002</t>
  </si>
  <si>
    <t>TVEL002</t>
  </si>
  <si>
    <t>VELCROM DE 1" BLANCO</t>
  </si>
  <si>
    <t>TAP-VEL-001</t>
  </si>
  <si>
    <t>TVEL001</t>
  </si>
  <si>
    <t>VELCROM DE 2" BLANCO</t>
  </si>
  <si>
    <t>🐄 PIEL (1 items)</t>
  </si>
  <si>
    <t>PIEL</t>
  </si>
  <si>
    <t>TAP-PEG-001</t>
  </si>
  <si>
    <t>TPEG002</t>
  </si>
  <si>
    <t>PROBST PEGAMENTO P/MONTAR (PIEL) 17 LTS</t>
  </si>
  <si>
    <t>🪑 SILLA (1 items)</t>
  </si>
  <si>
    <t>HER-MET-001</t>
  </si>
  <si>
    <t>SIME144</t>
  </si>
  <si>
    <t>SILLA ALHAMBRA ESGO</t>
  </si>
  <si>
    <t>⚡ Para agregar nuevos insumos: inserta una fila ANTES del separador de sección correspondiente. Usa la nomenclatura LINEA-SUB-###.</t>
  </si>
  <si>
    <t>CAJIGA — HERRAJES POR COMPONENTE</t>
  </si>
  <si>
    <t>Costo de herrajes asignado automáticamente al cotizar. Precios vinculados a INSUMOS.</t>
  </si>
  <si>
    <t>CLAVE INSUMO</t>
  </si>
  <si>
    <t>DESCRIPCIÓN HERRAJE</t>
  </si>
  <si>
    <t>PRECIO UNIT.</t>
  </si>
  <si>
    <t>COSTO HERRAJE</t>
  </si>
  <si>
    <t>CLAVE LOOKUP</t>
  </si>
  <si>
    <t>1 jgo por cajón</t>
  </si>
  <si>
    <t>CAJÓN|35</t>
  </si>
  <si>
    <t>CAJÓN|40</t>
  </si>
  <si>
    <t>CAJÓN|45</t>
  </si>
  <si>
    <t>CAJÓN|50</t>
  </si>
  <si>
    <t>CAJÓN|55</t>
  </si>
  <si>
    <t>CAJÓN|60</t>
  </si>
  <si>
    <t>TODAS</t>
  </si>
  <si>
    <t>4 bisagras por puerta</t>
  </si>
  <si>
    <t>PUERTA ABATIBLE|TODAS</t>
  </si>
  <si>
    <t>4 contras por puerta</t>
  </si>
  <si>
    <t>SISTEMA RIEL INCLUIDO EN PRECIO BASE</t>
  </si>
  <si>
    <t>Sin herraje adicional</t>
  </si>
  <si>
    <t>PUERTA CORREDERA|TODAS</t>
  </si>
  <si>
    <t>PUERTA ESPEJO|TODAS</t>
  </si>
  <si>
    <t>4 contras</t>
  </si>
  <si>
    <t>ESPEJO FLOTADO CLARO 6 MM</t>
  </si>
  <si>
    <t>Cantidad = m² de puerta</t>
  </si>
  <si>
    <t>Cant = ancho/100 (metros)</t>
  </si>
  <si>
    <t>ENTREPAÑO LED|TODAS</t>
  </si>
  <si>
    <t>TUBO OVAL 6 MTS</t>
  </si>
  <si>
    <t>Cant = largo/6 (fracción de tubo)</t>
  </si>
  <si>
    <t>TUBO COLGAR|TODAS</t>
  </si>
  <si>
    <t>2 bridas por tramo</t>
  </si>
  <si>
    <t>SIN HERRAJE</t>
  </si>
  <si>
    <t>PARAL 1 VISTA|TODAS</t>
  </si>
  <si>
    <t>PARAL 2 VISTAS|TODAS</t>
  </si>
  <si>
    <t>PISO|TODAS</t>
  </si>
  <si>
    <t>PISO CON ZOCLO|TODAS</t>
  </si>
  <si>
    <t>CIELO|TODAS</t>
  </si>
  <si>
    <t>ENTREPAÑO|TODAS</t>
  </si>
  <si>
    <t>COSTO HERR.</t>
  </si>
  <si>
    <t>GUÍA RÁPIDA — SISTEMA COTIZADOR CAJIGA v3</t>
  </si>
  <si>
    <t>📐 ARQUITECTURA DEL SISTEMA</t>
  </si>
  <si>
    <t>FUNCIÓN</t>
  </si>
  <si>
    <t>QUÉ EDITAS (🔵)</t>
  </si>
  <si>
    <t>Factores de utilidad y markup</t>
  </si>
  <si>
    <t>Factor FUO, IVA</t>
  </si>
  <si>
    <t>Al cambiar política de precios</t>
  </si>
  <si>
    <t>Catálogo maestro: 368 insumos con precios reales</t>
  </si>
  <si>
    <t>Precio MXN, Merma %</t>
  </si>
  <si>
    <t>Costo material+consumibles por m² por componente</t>
  </si>
  <si>
    <t>$/m² por madera y tamaño</t>
  </si>
  <si>
    <t>Al actualizar costos de madera</t>
  </si>
  <si>
    <t>MANO_DE_OBRA</t>
  </si>
  <si>
    <t>Horas por área × 12 componentes × 3 tamaños</t>
  </si>
  <si>
    <t>Horas por área</t>
  </si>
  <si>
    <t>Al actualizar tiempos</t>
  </si>
  <si>
    <t>HERRAJES</t>
  </si>
  <si>
    <t>Herrajes por componente (correderas, bisagras, etc.)</t>
  </si>
  <si>
    <t>Precio, cantidad</t>
  </si>
  <si>
    <t>Al cambiar herrajes</t>
  </si>
  <si>
    <t>Hoja principal — arma cotizaciones aquí</t>
  </si>
  <si>
    <t>Componente, dims, material, cant</t>
  </si>
  <si>
    <t>Se genera solo — imprimir/PDF para el cliente</t>
  </si>
  <si>
    <t>Nada (todo automático)</t>
  </si>
  <si>
    <t>🛠️ CÓMO COTIZAR (PASO A PASO)</t>
  </si>
  <si>
    <t>Abre COTIZADOR. Llena datos del proyecto (A3:B6) y elige nivel FUO en I5</t>
  </si>
  <si>
    <t>En cada fila (14+), selecciona COMPONENTE del dropdown</t>
  </si>
  <si>
    <t>Ingresa CANTIDAD. El sistema calcula automáticamente: M² → Material → MO → Herraje → Precio</t>
  </si>
  <si>
    <t>Aplica descuento (%) si es necesario en columna O</t>
  </si>
  <si>
    <t>Ve a PRESUPUESTO_CLIENTE — ya está listo para imprimir/PDF</t>
  </si>
  <si>
    <t>💡 TIPS Y REGLAS</t>
  </si>
  <si>
    <t>🔵 AZUL = Tú editas.   ⬛ NEGRO = Cálculo automático.   🟢 VERDE = Jala de otra hoja.</t>
  </si>
  <si>
    <t>⚡ Proyecto nuevo: Guardar como → renombrar con nombre del cliente.</t>
  </si>
  <si>
    <t>🗄️ Cajones: la corredera se selecciona por PROFUNDIDAD (35-60cm). Profundidad = clave de herraje.</t>
  </si>
  <si>
    <t>🚪 Puertas abatibles: incluyen 4 bisagras + 4 contras automáticamente.</t>
  </si>
  <si>
    <t>📐 Tamaño CHICO (≤0.5m²), MEDIANO (≤1m²), GRANDE (&gt;1m²) — determina MO y costo material.</t>
  </si>
  <si>
    <t>➕ Para agregar un nuevo COMPONENTE: agrega fila en MATERIALES, MANO_DE_OBRA, HERRAJES y _LISTAS.</t>
  </si>
  <si>
    <t>➕ Para agregar un nuevo MATERIAL (ej: Tzalam): agrega columna en MATERIALES y opción en _LISTAS.</t>
  </si>
  <si>
    <t>🔒 Para proteger fórmulas: Revisar &gt; Proteger hoja (desbloquea solo celdas azules).</t>
  </si>
  <si>
    <t>ECONÓMICO</t>
  </si>
  <si>
    <t>Proyectos muy básicos: melamina sencilla, sin herrajes especiales, sin acabados.</t>
  </si>
  <si>
    <t>Proyectos sencillos: melamina con chapa, herrajes estándar, diseño básico.</t>
  </si>
  <si>
    <t>BÁSICO+</t>
  </si>
  <si>
    <t>Proyectos sencillos con mejor acabado: MDF lacado, herrajes estándar, diseño semi-personalizado.</t>
  </si>
  <si>
    <t>ESTÁNDAR+</t>
  </si>
  <si>
    <t>Proyectos intermedios-altos: MDF + madera maciza combinada, herrajes soft-close, iluminación básica.</t>
  </si>
  <si>
    <t>Proyectos de alta gama: madera maciza, herrajes premium, iluminación LED, diseño exclusivo.</t>
  </si>
  <si>
    <t>PREMIUM+</t>
  </si>
  <si>
    <t>Proyectos de lujo: maderas finas (nogal/encino), herrajes de alta gama, iluminación completa.</t>
  </si>
  <si>
    <t>LUJO</t>
  </si>
  <si>
    <t>Proyectos de lujo completo: maderas selectas, herrajes europeos, domótica básica, diseño a medida.</t>
  </si>
  <si>
    <t>LUJO+</t>
  </si>
  <si>
    <t>Proyectos exclusivos: maderas importadas, herrajes de diseñador, domótica, acabados artesanales.</t>
  </si>
  <si>
    <t>ULTRA PREMIUM</t>
  </si>
  <si>
    <t>Proyectos ultra exclusivos: materiales importados, diseño de autor, instalación especial, garantía extendida.</t>
  </si>
  <si>
    <t>FUO 1.15</t>
  </si>
  <si>
    <t>FUO 1.25</t>
  </si>
  <si>
    <t>FUO 1.32</t>
  </si>
  <si>
    <t>FUO 1.40</t>
  </si>
  <si>
    <t>FUO 1.48</t>
  </si>
  <si>
    <t>FUO 1.55</t>
  </si>
  <si>
    <t>FUO 1.65</t>
  </si>
  <si>
    <t>FUO 1.75</t>
  </si>
  <si>
    <t>FUO 1.88</t>
  </si>
  <si>
    <t>FUO 2.00</t>
  </si>
  <si>
    <t>PROF. CAJÓN</t>
  </si>
  <si>
    <t>Largo/Alto &gt; 244 cm</t>
  </si>
  <si>
    <t>LOGÍSTICA E INSTALACIÓN EN SITIO</t>
  </si>
  <si>
    <t>MONTO</t>
  </si>
  <si>
    <t>Traslado zona metropolitana CDMX</t>
  </si>
  <si>
    <t>Traslado foráneo interior de la República</t>
  </si>
  <si>
    <t>Viáticos</t>
  </si>
  <si>
    <t>Hospedaje</t>
  </si>
  <si>
    <t>Imprevistos en sitio</t>
  </si>
  <si>
    <t>SUBTOTAL LOGÍSTICA (sin IVA)</t>
  </si>
  <si>
    <t>SUBTOTAL GENERAL (Componentes + Logística, sin IVA)</t>
  </si>
  <si>
    <t>SUBTOTAL (Componentes + Logística, sin IVA)</t>
  </si>
  <si>
    <t>ZAPATERA EXTRAÍBLE</t>
  </si>
  <si>
    <t>1 jgo por zapatera (prof 60cm)</t>
  </si>
  <si>
    <t>1 jgo por zapatera (prof 68cm)</t>
  </si>
  <si>
    <t>Selecciona ANCHO, ingresa LARGO/ALTO, selecciona PROF. CAJÓN (si aplica) y MATERIAL</t>
  </si>
  <si>
    <t>📏 Ancho &gt; 70cm o Alto &gt; 244cm aplican factor especial ×1.30 automáticamente.</t>
  </si>
  <si>
    <t>↓ Selecciona componente</t>
  </si>
  <si>
    <t>↓ Ver nota: qué mide según componente</t>
  </si>
  <si>
    <t>↓ Solo Cajón y Zapatera</t>
  </si>
  <si>
    <t>PARAL DELGADO 2V</t>
  </si>
  <si>
    <t>ENTREPAÑO DELGADO</t>
  </si>
  <si>
    <t>MOLDURA SENCILLA</t>
  </si>
  <si>
    <t>MOLDURA MEDIA</t>
  </si>
  <si>
    <t>MOLDURA DIFÍCIL</t>
  </si>
  <si>
    <t>MOLDURA GRUESA DIFÍCIL</t>
  </si>
  <si>
    <t>FONDO MADERA</t>
  </si>
  <si>
    <t>Closets Monte Tauro 290 — Vestidor Niñas</t>
  </si>
  <si>
    <t>Monte Tauro 290</t>
  </si>
  <si>
    <t>VESTIDOR NIÑAS</t>
  </si>
  <si>
    <t>ANTECÁMARA NIÑAS</t>
  </si>
  <si>
    <t>CLOSETS INVITADOS</t>
  </si>
  <si>
    <t>⚠️ 8 JALADERAS DE METAL (PENDIENTE - cotizar aparte)</t>
  </si>
  <si>
    <t>CLOSET FRANCISCO</t>
  </si>
  <si>
    <t>VESTIDOR MARINA</t>
  </si>
  <si>
    <t>LADO</t>
  </si>
  <si>
    <t>V1</t>
  </si>
  <si>
    <t>V2</t>
  </si>
  <si>
    <t>V3</t>
  </si>
  <si>
    <t>V2 PB</t>
  </si>
  <si>
    <t>V2 PA</t>
  </si>
  <si>
    <t>V3 PB</t>
  </si>
  <si>
    <t>V3 PA</t>
  </si>
  <si>
    <t>V4 PB</t>
  </si>
  <si>
    <t>V4 PA</t>
  </si>
  <si>
    <t>⚠️ ESCRITORIO con pata despuntada y cajón (PENDIENTE DIMENSIONAR)</t>
  </si>
  <si>
    <t>⚠️ 3 PAREDES con espejo y moldura (PENDIENTE DIMENSIONAR)</t>
  </si>
  <si>
    <t>⚠️ 4 JALADERAS DECORATIVAS (PENDIENTE)</t>
  </si>
  <si>
    <t>⚠️ 8 JALADERAS DECORATIVAS (PENDIENTE)</t>
  </si>
  <si>
    <t>⚠️ TAPA TRAPECIO ESPECIAL 60×90 (PENDIENTE)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</si>
</sst>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\x"/>
    <numFmt numFmtId="165" formatCode="\$#,##0.00"/>
    <numFmt numFmtId="166" formatCode="dd/mmm/yyyy"/>
    <numFmt numFmtId="167" formatCode="0.0%"/>
    <numFmt numFmtId="169" formatCode="dd/mm/yyyy"/>
    <numFmt numFmtId="170" formatCode="&quot;$&quot;#,##0"/>
    <numFmt numFmtId="171" formatCode="&quot;$&quot;#,##0.00"/>
    <numFmt numFmtId="173" formatCode="0.000"/>
  </numFmts>
  <fonts count="65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2E4A6B"/>
      <name val="Arial"/>
      <family val="2"/>
    </font>
    <font>
      <b/>
      <sz val="10"/>
      <color rgb="FFFFFFFF"/>
      <name val="Arial"/>
      <family val="2"/>
    </font>
    <font>
      <b/>
      <sz val="10"/>
      <color rgb="FF1A2B3C"/>
      <name val="Arial"/>
      <family val="2"/>
    </font>
    <font>
      <b/>
      <sz val="10"/>
      <color rgb="FF000000"/>
      <name val="Arial"/>
      <family val="2"/>
    </font>
    <font>
      <b/>
      <sz val="12"/>
      <color rgb="FF0000FF"/>
      <name val="Arial"/>
      <family val="2"/>
    </font>
    <font>
      <sz val="10"/>
      <color rgb="FF444444"/>
      <name val="Arial"/>
      <family val="2"/>
    </font>
    <font>
      <b/>
      <sz val="11"/>
      <color rgb="FF0000FF"/>
      <name val="Arial"/>
      <family val="2"/>
    </font>
    <font>
      <i/>
      <sz val="9"/>
      <color rgb="FF666666"/>
      <name val="Arial"/>
      <family val="2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9"/>
      <color rgb="FF0000FF"/>
      <name val="Arial"/>
      <family val="2"/>
    </font>
    <font>
      <sz val="10"/>
      <color rgb="FF008000"/>
      <name val="Arial"/>
      <family val="2"/>
    </font>
    <font>
      <i/>
      <sz val="9"/>
      <color rgb="FFF0A500"/>
      <name val="Arial"/>
      <family val="2"/>
    </font>
    <font>
      <b/>
      <sz val="14"/>
      <color rgb="FF1A2B3C"/>
      <name val="Arial"/>
      <family val="2"/>
    </font>
    <font>
      <b/>
      <sz val="12"/>
      <color rgb="FF1A2B3C"/>
      <name val="Arial"/>
      <family val="2"/>
    </font>
    <font>
      <b/>
      <sz val="10"/>
      <color rgb="FF888888"/>
      <name val="Arial"/>
      <family val="2"/>
    </font>
    <font>
      <sz val="9"/>
      <color rgb="FF008000"/>
      <name val="Arial"/>
      <family val="2"/>
    </font>
    <font>
      <b/>
      <sz val="12"/>
      <color rgb="FFFFFFFF"/>
      <name val="Arial"/>
      <family val="2"/>
    </font>
    <font>
      <i/>
      <sz val="9"/>
      <color rgb="FF888888"/>
      <name val="Arial"/>
      <family val="2"/>
    </font>
    <font>
      <b/>
      <i/>
      <sz val="22"/>
      <color rgb="FFFFFFFF"/>
      <name val="Arial"/>
      <family val="2"/>
    </font>
    <font>
      <i/>
      <sz val="11"/>
      <color rgb="FF2E4A6B"/>
      <name val="Arial"/>
      <family val="2"/>
    </font>
    <font>
      <b/>
      <sz val="13"/>
      <color rgb="FFFFFFFF"/>
      <name val="Arial"/>
      <family val="2"/>
    </font>
    <font>
      <sz val="9"/>
      <color rgb="FF444444"/>
      <name val="Arial"/>
      <family val="2"/>
    </font>
    <font>
      <sz val="10"/>
      <color rgb="FF888888"/>
      <name val="Arial"/>
      <family val="2"/>
    </font>
    <font>
      <sz val="9"/>
      <color rgb="FF88888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FF"/>
      <name val="Calibri"/>
      <family val="2"/>
      <charset val="1"/>
    </font>
    <font>
      <b/>
      <sz val="11"/>
      <color rgb="FF1A2B3C"/>
      <name val="Arial"/>
      <family val="2"/>
    </font>
    <font>
      <b/>
      <sz val="8"/>
      <color rgb="FFFFFFFF"/>
      <name val="Arial"/>
      <family val="2"/>
    </font>
    <font>
      <b/>
      <sz val="10"/>
      <color rgb="FF008000"/>
      <name val="Arial"/>
      <family val="2"/>
    </font>
    <font>
      <sz val="8"/>
      <color rgb="FF888888"/>
      <name val="Calibri"/>
      <family val="2"/>
      <charset val="1"/>
    </font>
    <font>
      <sz val="8"/>
      <color rgb="FF888888"/>
      <name val="Arial"/>
      <family val="2"/>
    </font>
    <font>
      <b/>
      <sz val="7"/>
      <color rgb="FFFFFFFF"/>
      <name val="Arial"/>
      <family val="2"/>
    </font>
    <font>
      <b/>
      <sz val="11"/>
      <color theme="1"/>
      <name val="Calibri"/>
      <family val="2"/>
      <charset val="1"/>
    </font>
    <font>
      <sz val="9"/>
      <color theme="1"/>
      <name val="Arial"/>
      <family val="2"/>
    </font>
    <font>
      <sz val="11"/>
      <color theme="1"/>
      <name val="Arial"/>
      <family val="2"/>
    </font>
    <font>
      <sz val="7"/>
      <color rgb="FFCCCCCC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color rgb="FFFFFFFF"/>
      <name val="Arial"/>
      <family val="2"/>
    </font>
    <font>
      <sz val="8"/>
      <color theme="1"/>
      <name val="Arial"/>
      <family val="2"/>
    </font>
    <font>
      <b/>
      <sz val="8"/>
      <color rgb="FF999999"/>
      <name val="Arial"/>
      <family val="2"/>
    </font>
    <font>
      <sz val="8"/>
      <color rgb="FF999999"/>
      <name val="Arial"/>
      <family val="2"/>
    </font>
    <font>
      <b/>
      <sz val="9"/>
      <color theme="1"/>
      <name val="Arial"/>
      <family val="2"/>
    </font>
    <font>
      <b/>
      <sz val="9"/>
      <color rgb="FF1A2B3C"/>
      <name val="Arial"/>
      <family val="2"/>
    </font>
    <font>
      <b/>
      <sz val="8"/>
      <color rgb="FFAAAAAA"/>
      <name val="Arial"/>
      <family val="2"/>
    </font>
    <font>
      <sz val="8"/>
      <color rgb="FFAAAAAA"/>
      <name val="Arial"/>
      <family val="2"/>
    </font>
    <font>
      <b/>
      <sz val="9"/>
      <color rgb="FF0000FF"/>
      <name val="Arial"/>
      <family val="2"/>
    </font>
    <font>
      <b/>
      <sz val="8"/>
      <color rgb="FF666666"/>
      <name val="Arial"/>
      <family val="2"/>
    </font>
    <font>
      <sz val="8"/>
      <color rgb="FF666666"/>
      <name val="Arial"/>
      <family val="2"/>
    </font>
    <font>
      <i/>
      <sz val="9"/>
      <color rgb="FF888888"/>
      <name val="Calibri"/>
      <family val="2"/>
      <charset val="1"/>
    </font>
    <font>
      <i/>
      <sz val="9"/>
      <color rgb="FF2E4A6B"/>
      <name val="Calibri"/>
      <family val="2"/>
      <charset val="1"/>
    </font>
    <font>
      <sz val="8"/>
      <color rgb="FFCCCCCC"/>
      <name val="Arial"/>
      <family val="2"/>
    </font>
    <font>
      <i/>
      <sz val="8"/>
      <color rgb="FF888888"/>
      <name val="Arial"/>
      <family val="2"/>
    </font>
    <font>
      <b/>
      <sz val="12"/>
      <color theme="1"/>
      <name val="Calibri"/>
      <family val="2"/>
      <charset val="1"/>
    </font>
    <font>
      <b/>
      <sz val="12"/>
      <color theme="1"/>
      <name val="Arial"/>
      <family val="2"/>
    </font>
    <font>
      <b/>
      <sz val="10"/>
      <color rgb="FFFFFFFF"/>
      <name val="Calibri"/>
      <family val="2"/>
      <charset val="1"/>
    </font>
    <font>
      <sz val="9"/>
      <color rgb="FF000000"/>
      <name val="Arial"/>
      <family val="2"/>
    </font>
    <font>
      <sz val="8"/>
      <color rgb="FF888888"/>
      <name val="Calibri"/>
      <family val="2"/>
    </font>
    <font>
      <sz val="8"/>
      <color rgb="FFCCCCCC"/>
      <name val="Calibri"/>
      <family val="2"/>
      <charset val="1"/>
    </font>
    <font>
      <i/>
      <sz val="10"/>
      <color rgb="FFD4740A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1A2B3C"/>
        <bgColor rgb="FF333333"/>
      </patternFill>
    </fill>
    <fill>
      <patternFill patternType="solid">
        <fgColor rgb="FFD6E4F0"/>
        <bgColor rgb="FFE8F8E8"/>
      </patternFill>
    </fill>
    <fill>
      <patternFill patternType="solid">
        <fgColor rgb="FFFFFFFF"/>
        <bgColor rgb="FFFFFDE8"/>
      </patternFill>
    </fill>
    <fill>
      <patternFill patternType="solid">
        <fgColor rgb="FFEFF6FF"/>
        <bgColor rgb="FFF0FFF0"/>
      </patternFill>
    </fill>
    <fill>
      <patternFill patternType="solid">
        <fgColor rgb="FF2E4A6B"/>
        <bgColor rgb="FF444444"/>
      </patternFill>
    </fill>
    <fill>
      <patternFill patternType="solid">
        <fgColor rgb="FFF0A500"/>
        <bgColor rgb="FFFFCC00"/>
      </patternFill>
    </fill>
    <fill>
      <patternFill patternType="solid">
        <fgColor rgb="FFFFF9E6"/>
        <bgColor rgb="FFFFFDE8"/>
      </patternFill>
    </fill>
    <fill>
      <patternFill patternType="solid">
        <fgColor rgb="FF1A2B3C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0A5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4A6B"/>
        <bgColor indexed="64"/>
      </patternFill>
    </fill>
    <fill>
      <patternFill patternType="solid">
        <fgColor rgb="FFF0FFF0"/>
        <bgColor indexed="64"/>
      </patternFill>
    </fill>
    <fill>
      <patternFill patternType="solid">
        <fgColor rgb="FFFFFDE8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8B451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4169E1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9370DB"/>
        <bgColor indexed="64"/>
      </patternFill>
    </fill>
    <fill>
      <patternFill patternType="solid">
        <fgColor rgb="FFDC143C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708090"/>
        <bgColor indexed="64"/>
      </patternFill>
    </fill>
    <fill>
      <patternFill patternType="solid">
        <fgColor rgb="FF80002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F5F5F5"/>
        <bgColor indexed="64"/>
      </patternFill>
    </fill>
  </fills>
  <borders count="28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medium">
        <color rgb="FF1A2B3C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rgb="FFE0E0E0"/>
      </bottom>
      <diagonal/>
    </border>
    <border>
      <left/>
      <right/>
      <top style="hair">
        <color rgb="FFE0E0E0"/>
      </top>
      <bottom style="hair">
        <color rgb="FFE0E0E0"/>
      </bottom>
      <diagonal/>
    </border>
    <border>
      <left/>
      <right/>
      <top style="hair">
        <color rgb="FFE0E0E0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/>
      <top style="medium">
        <color rgb="FF2E4A6B"/>
      </top>
      <bottom style="medium">
        <color rgb="FF2E4A6B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3">
    <xf numFmtId="0" fontId="0" fillId="0" borderId="0" xfId="0"/>
    <xf numFmtId="164" fontId="17" fillId="8" borderId="2" xfId="0" applyNumberFormat="1" applyFont="1" applyFill="1" applyBorder="1" applyAlignment="1">
      <alignment horizontal="center" vertical="center" wrapText="1"/>
    </xf>
    <xf numFmtId="164" fontId="16" fillId="8" borderId="2" xfId="0" applyNumberFormat="1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166" fontId="12" fillId="5" borderId="1" xfId="0" applyNumberFormat="1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5" fillId="0" borderId="0" xfId="0" applyFont="1"/>
    <xf numFmtId="0" fontId="3" fillId="6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164" fontId="8" fillId="5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3" fontId="12" fillId="4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65" fontId="12" fillId="4" borderId="1" xfId="0" applyNumberFormat="1" applyFont="1" applyFill="1" applyBorder="1" applyAlignment="1">
      <alignment horizontal="right" vertical="center"/>
    </xf>
    <xf numFmtId="165" fontId="1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3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165" fontId="12" fillId="3" borderId="1" xfId="0" applyNumberFormat="1" applyFont="1" applyFill="1" applyBorder="1" applyAlignment="1">
      <alignment horizontal="right" vertical="center"/>
    </xf>
    <xf numFmtId="165" fontId="14" fillId="3" borderId="1" xfId="0" applyNumberFormat="1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8" fillId="4" borderId="1" xfId="0" applyFont="1" applyFill="1" applyBorder="1" applyAlignment="1">
      <alignment horizontal="center" vertical="center" wrapText="1"/>
    </xf>
    <xf numFmtId="165" fontId="11" fillId="4" borderId="1" xfId="0" applyNumberFormat="1" applyFont="1" applyFill="1" applyBorder="1" applyAlignment="1">
      <alignment horizontal="right" vertical="center"/>
    </xf>
    <xf numFmtId="0" fontId="18" fillId="3" borderId="1" xfId="0" applyFont="1" applyFill="1" applyBorder="1" applyAlignment="1">
      <alignment horizontal="center" vertical="center" wrapText="1"/>
    </xf>
    <xf numFmtId="0" fontId="21" fillId="0" borderId="0" xfId="0" applyFont="1"/>
    <xf numFmtId="0" fontId="0" fillId="7" borderId="1" xfId="0" applyFill="1" applyBorder="1"/>
    <xf numFmtId="0" fontId="3" fillId="6" borderId="1" xfId="0" applyFont="1" applyFill="1" applyBorder="1" applyAlignment="1">
      <alignment horizontal="right" vertical="center"/>
    </xf>
    <xf numFmtId="3" fontId="11" fillId="4" borderId="1" xfId="0" applyNumberFormat="1" applyFont="1" applyFill="1" applyBorder="1" applyAlignment="1">
      <alignment horizontal="center" vertical="center" wrapText="1"/>
    </xf>
    <xf numFmtId="167" fontId="11" fillId="4" borderId="1" xfId="0" applyNumberFormat="1" applyFont="1" applyFill="1" applyBorder="1" applyAlignment="1">
      <alignment horizontal="center" vertical="center" wrapText="1"/>
    </xf>
    <xf numFmtId="165" fontId="16" fillId="8" borderId="3" xfId="0" applyNumberFormat="1" applyFont="1" applyFill="1" applyBorder="1" applyAlignment="1">
      <alignment horizontal="right" vertical="center"/>
    </xf>
    <xf numFmtId="0" fontId="22" fillId="2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6" fontId="5" fillId="0" borderId="1" xfId="0" applyNumberFormat="1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right" vertical="center"/>
    </xf>
    <xf numFmtId="165" fontId="5" fillId="0" borderId="3" xfId="0" applyNumberFormat="1" applyFont="1" applyBorder="1" applyAlignment="1">
      <alignment horizontal="right" vertical="center"/>
    </xf>
    <xf numFmtId="0" fontId="24" fillId="7" borderId="3" xfId="0" applyFont="1" applyFill="1" applyBorder="1" applyAlignment="1">
      <alignment horizontal="right" vertical="center"/>
    </xf>
    <xf numFmtId="0" fontId="10" fillId="6" borderId="0" xfId="0" applyFont="1" applyFill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0" fontId="26" fillId="0" borderId="0" xfId="0" applyFont="1"/>
    <xf numFmtId="169" fontId="12" fillId="5" borderId="1" xfId="0" applyNumberFormat="1" applyFont="1" applyFill="1" applyBorder="1" applyAlignment="1">
      <alignment horizontal="left" vertical="center" wrapText="1"/>
    </xf>
    <xf numFmtId="169" fontId="5" fillId="0" borderId="1" xfId="0" applyNumberFormat="1" applyFont="1" applyBorder="1" applyAlignment="1">
      <alignment horizontal="left" vertical="center" wrapText="1"/>
    </xf>
    <xf numFmtId="0" fontId="1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170" fontId="14" fillId="0" borderId="0" xfId="0" applyNumberFormat="1" applyFont="1"/>
    <xf numFmtId="0" fontId="28" fillId="10" borderId="0" xfId="0" applyFont="1" applyFill="1"/>
    <xf numFmtId="0" fontId="27" fillId="10" borderId="0" xfId="0" applyFont="1" applyFill="1"/>
    <xf numFmtId="0" fontId="31" fillId="0" borderId="0" xfId="0" applyFont="1"/>
    <xf numFmtId="2" fontId="12" fillId="0" borderId="0" xfId="0" applyNumberFormat="1" applyFont="1"/>
    <xf numFmtId="2" fontId="12" fillId="10" borderId="0" xfId="0" applyNumberFormat="1" applyFont="1" applyFill="1"/>
    <xf numFmtId="0" fontId="10" fillId="9" borderId="0" xfId="0" applyFont="1" applyFill="1" applyAlignment="1">
      <alignment horizontal="center"/>
    </xf>
    <xf numFmtId="0" fontId="10" fillId="11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32" fillId="13" borderId="0" xfId="0" applyFont="1" applyFill="1" applyAlignment="1">
      <alignment horizontal="center"/>
    </xf>
    <xf numFmtId="0" fontId="10" fillId="1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2" fontId="19" fillId="14" borderId="0" xfId="0" applyNumberFormat="1" applyFont="1" applyFill="1" applyAlignment="1">
      <alignment horizontal="center"/>
    </xf>
    <xf numFmtId="170" fontId="19" fillId="14" borderId="0" xfId="0" applyNumberFormat="1" applyFont="1" applyFill="1" applyAlignment="1">
      <alignment horizontal="right"/>
    </xf>
    <xf numFmtId="170" fontId="11" fillId="0" borderId="0" xfId="0" applyNumberFormat="1" applyFont="1" applyAlignment="1">
      <alignment horizontal="right"/>
    </xf>
    <xf numFmtId="170" fontId="4" fillId="15" borderId="0" xfId="0" applyNumberFormat="1" applyFont="1" applyFill="1" applyAlignment="1">
      <alignment horizontal="right"/>
    </xf>
    <xf numFmtId="9" fontId="12" fillId="0" borderId="0" xfId="0" applyNumberFormat="1" applyFont="1" applyAlignment="1">
      <alignment horizontal="center"/>
    </xf>
    <xf numFmtId="170" fontId="5" fillId="0" borderId="0" xfId="0" applyNumberFormat="1" applyFont="1" applyAlignment="1">
      <alignment horizontal="right"/>
    </xf>
    <xf numFmtId="0" fontId="13" fillId="0" borderId="0" xfId="0" applyFont="1" applyAlignment="1">
      <alignment horizontal="left"/>
    </xf>
    <xf numFmtId="170" fontId="17" fillId="16" borderId="0" xfId="0" applyNumberFormat="1" applyFont="1" applyFill="1" applyAlignment="1">
      <alignment horizontal="right"/>
    </xf>
    <xf numFmtId="170" fontId="16" fillId="16" borderId="0" xfId="0" applyNumberFormat="1" applyFont="1" applyFill="1" applyAlignment="1">
      <alignment horizontal="right"/>
    </xf>
    <xf numFmtId="0" fontId="3" fillId="13" borderId="0" xfId="0" applyFont="1" applyFill="1"/>
    <xf numFmtId="0" fontId="3" fillId="13" borderId="0" xfId="0" applyFont="1" applyFill="1" applyAlignment="1">
      <alignment horizontal="center"/>
    </xf>
    <xf numFmtId="167" fontId="17" fillId="14" borderId="0" xfId="0" applyNumberFormat="1" applyFont="1" applyFill="1"/>
    <xf numFmtId="0" fontId="3" fillId="9" borderId="0" xfId="0" applyFont="1" applyFill="1" applyAlignment="1">
      <alignment horizontal="right"/>
    </xf>
    <xf numFmtId="0" fontId="20" fillId="11" borderId="0" xfId="0" applyFont="1" applyFill="1" applyAlignment="1">
      <alignment horizontal="right"/>
    </xf>
    <xf numFmtId="0" fontId="3" fillId="13" borderId="0" xfId="0" applyFont="1" applyFill="1" applyAlignment="1">
      <alignment horizontal="center"/>
    </xf>
    <xf numFmtId="171" fontId="12" fillId="0" borderId="0" xfId="0" applyNumberFormat="1" applyFont="1" applyAlignment="1">
      <alignment horizontal="center"/>
    </xf>
    <xf numFmtId="0" fontId="36" fillId="9" borderId="0" xfId="0" applyFont="1" applyFill="1" applyAlignment="1">
      <alignment horizontal="center"/>
    </xf>
    <xf numFmtId="0" fontId="36" fillId="13" borderId="0" xfId="0" applyFont="1" applyFill="1" applyAlignment="1">
      <alignment horizontal="center"/>
    </xf>
    <xf numFmtId="0" fontId="29" fillId="0" borderId="4" xfId="0" applyFont="1" applyBorder="1"/>
    <xf numFmtId="0" fontId="38" fillId="0" borderId="5" xfId="0" applyFont="1" applyBorder="1" applyAlignment="1">
      <alignment horizontal="center"/>
    </xf>
    <xf numFmtId="0" fontId="38" fillId="10" borderId="8" xfId="0" applyFont="1" applyFill="1" applyBorder="1" applyAlignment="1">
      <alignment horizontal="center"/>
    </xf>
    <xf numFmtId="2" fontId="13" fillId="10" borderId="8" xfId="0" applyNumberFormat="1" applyFont="1" applyFill="1" applyBorder="1" applyAlignment="1">
      <alignment horizontal="center"/>
    </xf>
    <xf numFmtId="170" fontId="33" fillId="0" borderId="0" xfId="0" applyNumberFormat="1" applyFont="1" applyAlignment="1">
      <alignment horizontal="right"/>
    </xf>
    <xf numFmtId="0" fontId="34" fillId="10" borderId="7" xfId="0" applyFont="1" applyFill="1" applyBorder="1"/>
    <xf numFmtId="173" fontId="13" fillId="10" borderId="0" xfId="0" applyNumberFormat="1" applyFont="1" applyFill="1" applyBorder="1" applyAlignment="1">
      <alignment horizontal="center"/>
    </xf>
    <xf numFmtId="173" fontId="13" fillId="10" borderId="8" xfId="0" applyNumberFormat="1" applyFont="1" applyFill="1" applyBorder="1" applyAlignment="1">
      <alignment horizontal="center"/>
    </xf>
    <xf numFmtId="173" fontId="13" fillId="10" borderId="9" xfId="0" applyNumberFormat="1" applyFont="1" applyFill="1" applyBorder="1" applyAlignment="1">
      <alignment horizontal="center"/>
    </xf>
    <xf numFmtId="0" fontId="29" fillId="12" borderId="4" xfId="0" applyFont="1" applyFill="1" applyBorder="1"/>
    <xf numFmtId="0" fontId="38" fillId="12" borderId="5" xfId="0" applyFont="1" applyFill="1" applyBorder="1" applyAlignment="1">
      <alignment horizontal="center"/>
    </xf>
    <xf numFmtId="2" fontId="13" fillId="12" borderId="5" xfId="0" applyNumberFormat="1" applyFont="1" applyFill="1" applyBorder="1" applyAlignment="1">
      <alignment horizontal="center"/>
    </xf>
    <xf numFmtId="173" fontId="13" fillId="12" borderId="5" xfId="0" applyNumberFormat="1" applyFont="1" applyFill="1" applyBorder="1" applyAlignment="1">
      <alignment horizontal="center"/>
    </xf>
    <xf numFmtId="173" fontId="13" fillId="12" borderId="6" xfId="0" applyNumberFormat="1" applyFont="1" applyFill="1" applyBorder="1" applyAlignment="1">
      <alignment horizontal="center"/>
    </xf>
    <xf numFmtId="0" fontId="34" fillId="12" borderId="7" xfId="0" applyFont="1" applyFill="1" applyBorder="1"/>
    <xf numFmtId="0" fontId="38" fillId="12" borderId="8" xfId="0" applyFont="1" applyFill="1" applyBorder="1" applyAlignment="1">
      <alignment horizontal="center"/>
    </xf>
    <xf numFmtId="2" fontId="13" fillId="12" borderId="8" xfId="0" applyNumberFormat="1" applyFont="1" applyFill="1" applyBorder="1" applyAlignment="1">
      <alignment horizontal="center"/>
    </xf>
    <xf numFmtId="173" fontId="13" fillId="12" borderId="8" xfId="0" applyNumberFormat="1" applyFont="1" applyFill="1" applyBorder="1" applyAlignment="1">
      <alignment horizontal="center"/>
    </xf>
    <xf numFmtId="173" fontId="13" fillId="12" borderId="9" xfId="0" applyNumberFormat="1" applyFont="1" applyFill="1" applyBorder="1" applyAlignment="1">
      <alignment horizontal="center"/>
    </xf>
    <xf numFmtId="0" fontId="29" fillId="10" borderId="4" xfId="0" applyFont="1" applyFill="1" applyBorder="1"/>
    <xf numFmtId="0" fontId="38" fillId="10" borderId="5" xfId="0" applyFont="1" applyFill="1" applyBorder="1" applyAlignment="1">
      <alignment horizontal="center"/>
    </xf>
    <xf numFmtId="2" fontId="13" fillId="10" borderId="5" xfId="0" applyNumberFormat="1" applyFont="1" applyFill="1" applyBorder="1" applyAlignment="1">
      <alignment horizontal="center"/>
    </xf>
    <xf numFmtId="173" fontId="13" fillId="10" borderId="5" xfId="0" applyNumberFormat="1" applyFont="1" applyFill="1" applyBorder="1" applyAlignment="1">
      <alignment horizontal="center"/>
    </xf>
    <xf numFmtId="173" fontId="13" fillId="10" borderId="6" xfId="0" applyNumberFormat="1" applyFont="1" applyFill="1" applyBorder="1" applyAlignment="1">
      <alignment horizontal="center"/>
    </xf>
    <xf numFmtId="0" fontId="34" fillId="12" borderId="10" xfId="0" applyFont="1" applyFill="1" applyBorder="1"/>
    <xf numFmtId="0" fontId="38" fillId="12" borderId="11" xfId="0" applyFont="1" applyFill="1" applyBorder="1" applyAlignment="1">
      <alignment horizontal="center"/>
    </xf>
    <xf numFmtId="2" fontId="13" fillId="12" borderId="11" xfId="0" applyNumberFormat="1" applyFont="1" applyFill="1" applyBorder="1" applyAlignment="1">
      <alignment horizontal="center"/>
    </xf>
    <xf numFmtId="173" fontId="13" fillId="12" borderId="11" xfId="0" applyNumberFormat="1" applyFont="1" applyFill="1" applyBorder="1" applyAlignment="1">
      <alignment horizontal="center"/>
    </xf>
    <xf numFmtId="173" fontId="13" fillId="12" borderId="12" xfId="0" applyNumberFormat="1" applyFont="1" applyFill="1" applyBorder="1" applyAlignment="1">
      <alignment horizontal="center"/>
    </xf>
    <xf numFmtId="0" fontId="34" fillId="10" borderId="10" xfId="0" applyFont="1" applyFill="1" applyBorder="1"/>
    <xf numFmtId="0" fontId="38" fillId="10" borderId="11" xfId="0" applyFont="1" applyFill="1" applyBorder="1" applyAlignment="1">
      <alignment horizontal="center"/>
    </xf>
    <xf numFmtId="2" fontId="13" fillId="10" borderId="11" xfId="0" applyNumberFormat="1" applyFont="1" applyFill="1" applyBorder="1" applyAlignment="1">
      <alignment horizontal="center"/>
    </xf>
    <xf numFmtId="173" fontId="13" fillId="10" borderId="11" xfId="0" applyNumberFormat="1" applyFont="1" applyFill="1" applyBorder="1" applyAlignment="1">
      <alignment horizontal="center"/>
    </xf>
    <xf numFmtId="173" fontId="13" fillId="10" borderId="12" xfId="0" applyNumberFormat="1" applyFont="1" applyFill="1" applyBorder="1" applyAlignment="1">
      <alignment horizontal="center"/>
    </xf>
    <xf numFmtId="0" fontId="39" fillId="0" borderId="0" xfId="0" applyFont="1"/>
    <xf numFmtId="2" fontId="12" fillId="0" borderId="5" xfId="0" applyNumberFormat="1" applyFont="1" applyBorder="1" applyAlignment="1">
      <alignment horizontal="center"/>
    </xf>
    <xf numFmtId="170" fontId="12" fillId="0" borderId="5" xfId="0" applyNumberFormat="1" applyFont="1" applyBorder="1" applyAlignment="1">
      <alignment horizontal="center"/>
    </xf>
    <xf numFmtId="0" fontId="40" fillId="0" borderId="6" xfId="0" applyFont="1" applyBorder="1"/>
    <xf numFmtId="0" fontId="28" fillId="10" borderId="7" xfId="0" applyFont="1" applyFill="1" applyBorder="1"/>
    <xf numFmtId="2" fontId="12" fillId="10" borderId="8" xfId="0" applyNumberFormat="1" applyFont="1" applyFill="1" applyBorder="1" applyAlignment="1">
      <alignment horizontal="center"/>
    </xf>
    <xf numFmtId="170" fontId="12" fillId="10" borderId="8" xfId="0" applyNumberFormat="1" applyFont="1" applyFill="1" applyBorder="1" applyAlignment="1">
      <alignment horizontal="center"/>
    </xf>
    <xf numFmtId="0" fontId="40" fillId="10" borderId="9" xfId="0" applyFont="1" applyFill="1" applyBorder="1"/>
    <xf numFmtId="0" fontId="28" fillId="0" borderId="7" xfId="0" applyFont="1" applyBorder="1"/>
    <xf numFmtId="0" fontId="38" fillId="0" borderId="8" xfId="0" applyFont="1" applyBorder="1" applyAlignment="1">
      <alignment horizontal="center"/>
    </xf>
    <xf numFmtId="2" fontId="12" fillId="0" borderId="8" xfId="0" applyNumberFormat="1" applyFont="1" applyBorder="1" applyAlignment="1">
      <alignment horizontal="center"/>
    </xf>
    <xf numFmtId="170" fontId="12" fillId="0" borderId="8" xfId="0" applyNumberFormat="1" applyFont="1" applyBorder="1" applyAlignment="1">
      <alignment horizontal="center"/>
    </xf>
    <xf numFmtId="0" fontId="40" fillId="0" borderId="9" xfId="0" applyFont="1" applyBorder="1"/>
    <xf numFmtId="2" fontId="12" fillId="10" borderId="5" xfId="0" applyNumberFormat="1" applyFont="1" applyFill="1" applyBorder="1" applyAlignment="1">
      <alignment horizontal="center"/>
    </xf>
    <xf numFmtId="170" fontId="12" fillId="10" borderId="5" xfId="0" applyNumberFormat="1" applyFont="1" applyFill="1" applyBorder="1" applyAlignment="1">
      <alignment horizontal="center"/>
    </xf>
    <xf numFmtId="0" fontId="40" fillId="10" borderId="6" xfId="0" applyFont="1" applyFill="1" applyBorder="1"/>
    <xf numFmtId="0" fontId="28" fillId="0" borderId="10" xfId="0" applyFont="1" applyBorder="1"/>
    <xf numFmtId="0" fontId="38" fillId="0" borderId="11" xfId="0" applyFont="1" applyBorder="1" applyAlignment="1">
      <alignment horizontal="center"/>
    </xf>
    <xf numFmtId="2" fontId="12" fillId="0" borderId="11" xfId="0" applyNumberFormat="1" applyFont="1" applyBorder="1" applyAlignment="1">
      <alignment horizontal="center"/>
    </xf>
    <xf numFmtId="170" fontId="12" fillId="0" borderId="11" xfId="0" applyNumberFormat="1" applyFont="1" applyBorder="1" applyAlignment="1">
      <alignment horizontal="center"/>
    </xf>
    <xf numFmtId="0" fontId="40" fillId="0" borderId="12" xfId="0" applyFont="1" applyBorder="1"/>
    <xf numFmtId="0" fontId="28" fillId="10" borderId="10" xfId="0" applyFont="1" applyFill="1" applyBorder="1"/>
    <xf numFmtId="2" fontId="12" fillId="10" borderId="11" xfId="0" applyNumberFormat="1" applyFont="1" applyFill="1" applyBorder="1" applyAlignment="1">
      <alignment horizontal="center"/>
    </xf>
    <xf numFmtId="170" fontId="12" fillId="10" borderId="11" xfId="0" applyNumberFormat="1" applyFont="1" applyFill="1" applyBorder="1" applyAlignment="1">
      <alignment horizontal="center"/>
    </xf>
    <xf numFmtId="0" fontId="40" fillId="10" borderId="12" xfId="0" applyFont="1" applyFill="1" applyBorder="1"/>
    <xf numFmtId="0" fontId="29" fillId="10" borderId="0" xfId="0" applyFont="1" applyFill="1" applyBorder="1" applyAlignment="1">
      <alignment horizontal="center"/>
    </xf>
    <xf numFmtId="0" fontId="1" fillId="9" borderId="0" xfId="0" applyFont="1" applyFill="1"/>
    <xf numFmtId="0" fontId="0" fillId="9" borderId="0" xfId="0" applyFill="1"/>
    <xf numFmtId="0" fontId="2" fillId="0" borderId="0" xfId="0" applyFont="1" applyAlignment="1">
      <alignment horizontal="center"/>
    </xf>
    <xf numFmtId="0" fontId="3" fillId="11" borderId="0" xfId="0" applyFont="1" applyFill="1" applyAlignment="1">
      <alignment horizontal="center"/>
    </xf>
    <xf numFmtId="0" fontId="6" fillId="17" borderId="0" xfId="0" applyFont="1" applyFill="1" applyAlignment="1">
      <alignment horizontal="center"/>
    </xf>
    <xf numFmtId="0" fontId="10" fillId="18" borderId="16" xfId="0" applyFont="1" applyFill="1" applyBorder="1"/>
    <xf numFmtId="0" fontId="38" fillId="0" borderId="17" xfId="0" applyFont="1" applyBorder="1"/>
    <xf numFmtId="0" fontId="10" fillId="19" borderId="17" xfId="0" applyFont="1" applyFill="1" applyBorder="1"/>
    <xf numFmtId="0" fontId="10" fillId="20" borderId="17" xfId="0" applyFont="1" applyFill="1" applyBorder="1"/>
    <xf numFmtId="0" fontId="10" fillId="21" borderId="17" xfId="0" applyFont="1" applyFill="1" applyBorder="1"/>
    <xf numFmtId="0" fontId="10" fillId="22" borderId="17" xfId="0" applyFont="1" applyFill="1" applyBorder="1"/>
    <xf numFmtId="0" fontId="10" fillId="23" borderId="17" xfId="0" applyFont="1" applyFill="1" applyBorder="1"/>
    <xf numFmtId="0" fontId="10" fillId="24" borderId="17" xfId="0" applyFont="1" applyFill="1" applyBorder="1"/>
    <xf numFmtId="0" fontId="10" fillId="25" borderId="17" xfId="0" applyFont="1" applyFill="1" applyBorder="1"/>
    <xf numFmtId="0" fontId="10" fillId="26" borderId="17" xfId="0" applyFont="1" applyFill="1" applyBorder="1"/>
    <xf numFmtId="0" fontId="10" fillId="27" borderId="17" xfId="0" applyFont="1" applyFill="1" applyBorder="1"/>
    <xf numFmtId="0" fontId="10" fillId="28" borderId="17" xfId="0" applyFont="1" applyFill="1" applyBorder="1"/>
    <xf numFmtId="0" fontId="10" fillId="29" borderId="17" xfId="0" applyFont="1" applyFill="1" applyBorder="1"/>
    <xf numFmtId="0" fontId="38" fillId="0" borderId="18" xfId="0" applyFont="1" applyBorder="1"/>
    <xf numFmtId="0" fontId="10" fillId="18" borderId="16" xfId="0" applyFont="1" applyFill="1" applyBorder="1" applyAlignment="1">
      <alignment horizontal="center"/>
    </xf>
    <xf numFmtId="0" fontId="38" fillId="0" borderId="17" xfId="0" applyFont="1" applyBorder="1" applyAlignment="1">
      <alignment horizontal="center"/>
    </xf>
    <xf numFmtId="0" fontId="10" fillId="19" borderId="17" xfId="0" applyFont="1" applyFill="1" applyBorder="1" applyAlignment="1">
      <alignment horizontal="center"/>
    </xf>
    <xf numFmtId="0" fontId="10" fillId="20" borderId="17" xfId="0" applyFont="1" applyFill="1" applyBorder="1" applyAlignment="1">
      <alignment horizontal="center"/>
    </xf>
    <xf numFmtId="0" fontId="10" fillId="21" borderId="17" xfId="0" applyFont="1" applyFill="1" applyBorder="1" applyAlignment="1">
      <alignment horizontal="center"/>
    </xf>
    <xf numFmtId="0" fontId="10" fillId="22" borderId="17" xfId="0" applyFont="1" applyFill="1" applyBorder="1" applyAlignment="1">
      <alignment horizontal="center"/>
    </xf>
    <xf numFmtId="0" fontId="10" fillId="23" borderId="17" xfId="0" applyFont="1" applyFill="1" applyBorder="1" applyAlignment="1">
      <alignment horizontal="center"/>
    </xf>
    <xf numFmtId="0" fontId="10" fillId="24" borderId="17" xfId="0" applyFont="1" applyFill="1" applyBorder="1" applyAlignment="1">
      <alignment horizontal="center"/>
    </xf>
    <xf numFmtId="0" fontId="10" fillId="25" borderId="17" xfId="0" applyFont="1" applyFill="1" applyBorder="1" applyAlignment="1">
      <alignment horizontal="center"/>
    </xf>
    <xf numFmtId="0" fontId="10" fillId="26" borderId="17" xfId="0" applyFont="1" applyFill="1" applyBorder="1" applyAlignment="1">
      <alignment horizontal="center"/>
    </xf>
    <xf numFmtId="0" fontId="10" fillId="27" borderId="17" xfId="0" applyFont="1" applyFill="1" applyBorder="1" applyAlignment="1">
      <alignment horizontal="center"/>
    </xf>
    <xf numFmtId="0" fontId="10" fillId="28" borderId="17" xfId="0" applyFont="1" applyFill="1" applyBorder="1" applyAlignment="1">
      <alignment horizontal="center"/>
    </xf>
    <xf numFmtId="0" fontId="10" fillId="29" borderId="17" xfId="0" applyFont="1" applyFill="1" applyBorder="1" applyAlignment="1">
      <alignment horizontal="center"/>
    </xf>
    <xf numFmtId="0" fontId="38" fillId="0" borderId="18" xfId="0" applyFont="1" applyBorder="1" applyAlignment="1">
      <alignment horizontal="center"/>
    </xf>
    <xf numFmtId="0" fontId="32" fillId="18" borderId="16" xfId="0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0" fontId="32" fillId="19" borderId="17" xfId="0" applyFont="1" applyFill="1" applyBorder="1" applyAlignment="1">
      <alignment horizontal="center"/>
    </xf>
    <xf numFmtId="0" fontId="32" fillId="20" borderId="17" xfId="0" applyFont="1" applyFill="1" applyBorder="1" applyAlignment="1">
      <alignment horizontal="center"/>
    </xf>
    <xf numFmtId="0" fontId="32" fillId="21" borderId="17" xfId="0" applyFont="1" applyFill="1" applyBorder="1" applyAlignment="1">
      <alignment horizontal="center"/>
    </xf>
    <xf numFmtId="0" fontId="32" fillId="22" borderId="17" xfId="0" applyFont="1" applyFill="1" applyBorder="1" applyAlignment="1">
      <alignment horizontal="center"/>
    </xf>
    <xf numFmtId="0" fontId="32" fillId="23" borderId="17" xfId="0" applyFont="1" applyFill="1" applyBorder="1" applyAlignment="1">
      <alignment horizontal="center"/>
    </xf>
    <xf numFmtId="0" fontId="32" fillId="24" borderId="17" xfId="0" applyFont="1" applyFill="1" applyBorder="1" applyAlignment="1">
      <alignment horizontal="center"/>
    </xf>
    <xf numFmtId="0" fontId="32" fillId="25" borderId="17" xfId="0" applyFont="1" applyFill="1" applyBorder="1" applyAlignment="1">
      <alignment horizontal="center"/>
    </xf>
    <xf numFmtId="0" fontId="32" fillId="26" borderId="17" xfId="0" applyFont="1" applyFill="1" applyBorder="1" applyAlignment="1">
      <alignment horizontal="center"/>
    </xf>
    <xf numFmtId="0" fontId="32" fillId="27" borderId="17" xfId="0" applyFont="1" applyFill="1" applyBorder="1" applyAlignment="1">
      <alignment horizontal="center"/>
    </xf>
    <xf numFmtId="0" fontId="32" fillId="28" borderId="17" xfId="0" applyFont="1" applyFill="1" applyBorder="1" applyAlignment="1">
      <alignment horizontal="center"/>
    </xf>
    <xf numFmtId="0" fontId="32" fillId="29" borderId="17" xfId="0" applyFont="1" applyFill="1" applyBorder="1" applyAlignment="1">
      <alignment horizontal="center"/>
    </xf>
    <xf numFmtId="0" fontId="44" fillId="0" borderId="18" xfId="0" applyFont="1" applyBorder="1" applyAlignment="1">
      <alignment horizontal="center"/>
    </xf>
    <xf numFmtId="0" fontId="45" fillId="18" borderId="16" xfId="0" applyFont="1" applyFill="1" applyBorder="1" applyAlignment="1">
      <alignment horizontal="center"/>
    </xf>
    <xf numFmtId="0" fontId="46" fillId="0" borderId="17" xfId="0" applyFont="1" applyBorder="1" applyAlignment="1">
      <alignment horizontal="center"/>
    </xf>
    <xf numFmtId="0" fontId="45" fillId="19" borderId="17" xfId="0" applyFont="1" applyFill="1" applyBorder="1" applyAlignment="1">
      <alignment horizontal="center"/>
    </xf>
    <xf numFmtId="0" fontId="45" fillId="20" borderId="17" xfId="0" applyFont="1" applyFill="1" applyBorder="1" applyAlignment="1">
      <alignment horizontal="center"/>
    </xf>
    <xf numFmtId="0" fontId="45" fillId="21" borderId="17" xfId="0" applyFont="1" applyFill="1" applyBorder="1" applyAlignment="1">
      <alignment horizontal="center"/>
    </xf>
    <xf numFmtId="0" fontId="45" fillId="22" borderId="17" xfId="0" applyFont="1" applyFill="1" applyBorder="1" applyAlignment="1">
      <alignment horizontal="center"/>
    </xf>
    <xf numFmtId="0" fontId="45" fillId="23" borderId="17" xfId="0" applyFont="1" applyFill="1" applyBorder="1" applyAlignment="1">
      <alignment horizontal="center"/>
    </xf>
    <xf numFmtId="0" fontId="45" fillId="24" borderId="17" xfId="0" applyFont="1" applyFill="1" applyBorder="1" applyAlignment="1">
      <alignment horizontal="center"/>
    </xf>
    <xf numFmtId="0" fontId="45" fillId="25" borderId="17" xfId="0" applyFont="1" applyFill="1" applyBorder="1" applyAlignment="1">
      <alignment horizontal="center"/>
    </xf>
    <xf numFmtId="0" fontId="45" fillId="26" borderId="17" xfId="0" applyFont="1" applyFill="1" applyBorder="1" applyAlignment="1">
      <alignment horizontal="center"/>
    </xf>
    <xf numFmtId="0" fontId="45" fillId="27" borderId="17" xfId="0" applyFont="1" applyFill="1" applyBorder="1" applyAlignment="1">
      <alignment horizontal="center"/>
    </xf>
    <xf numFmtId="0" fontId="45" fillId="28" borderId="17" xfId="0" applyFont="1" applyFill="1" applyBorder="1" applyAlignment="1">
      <alignment horizontal="center"/>
    </xf>
    <xf numFmtId="0" fontId="45" fillId="29" borderId="17" xfId="0" applyFont="1" applyFill="1" applyBorder="1" applyAlignment="1">
      <alignment horizontal="center"/>
    </xf>
    <xf numFmtId="0" fontId="46" fillId="0" borderId="18" xfId="0" applyFont="1" applyBorder="1" applyAlignment="1">
      <alignment horizontal="center"/>
    </xf>
    <xf numFmtId="0" fontId="48" fillId="18" borderId="16" xfId="0" applyFont="1" applyFill="1" applyBorder="1" applyAlignment="1">
      <alignment horizontal="center"/>
    </xf>
    <xf numFmtId="0" fontId="48" fillId="0" borderId="17" xfId="0" applyFont="1" applyBorder="1" applyAlignment="1">
      <alignment horizontal="center"/>
    </xf>
    <xf numFmtId="0" fontId="48" fillId="19" borderId="17" xfId="0" applyFont="1" applyFill="1" applyBorder="1" applyAlignment="1">
      <alignment horizontal="center"/>
    </xf>
    <xf numFmtId="0" fontId="48" fillId="20" borderId="17" xfId="0" applyFont="1" applyFill="1" applyBorder="1" applyAlignment="1">
      <alignment horizontal="center"/>
    </xf>
    <xf numFmtId="0" fontId="48" fillId="21" borderId="17" xfId="0" applyFont="1" applyFill="1" applyBorder="1" applyAlignment="1">
      <alignment horizontal="center"/>
    </xf>
    <xf numFmtId="0" fontId="48" fillId="22" borderId="17" xfId="0" applyFont="1" applyFill="1" applyBorder="1" applyAlignment="1">
      <alignment horizontal="center"/>
    </xf>
    <xf numFmtId="0" fontId="48" fillId="23" borderId="17" xfId="0" applyFont="1" applyFill="1" applyBorder="1" applyAlignment="1">
      <alignment horizontal="center"/>
    </xf>
    <xf numFmtId="0" fontId="48" fillId="24" borderId="17" xfId="0" applyFont="1" applyFill="1" applyBorder="1" applyAlignment="1">
      <alignment horizontal="center"/>
    </xf>
    <xf numFmtId="0" fontId="48" fillId="25" borderId="17" xfId="0" applyFont="1" applyFill="1" applyBorder="1" applyAlignment="1">
      <alignment horizontal="center"/>
    </xf>
    <xf numFmtId="0" fontId="48" fillId="26" borderId="17" xfId="0" applyFont="1" applyFill="1" applyBorder="1" applyAlignment="1">
      <alignment horizontal="center"/>
    </xf>
    <xf numFmtId="0" fontId="48" fillId="27" borderId="17" xfId="0" applyFont="1" applyFill="1" applyBorder="1" applyAlignment="1">
      <alignment horizontal="center"/>
    </xf>
    <xf numFmtId="0" fontId="48" fillId="28" borderId="17" xfId="0" applyFont="1" applyFill="1" applyBorder="1" applyAlignment="1">
      <alignment horizontal="center"/>
    </xf>
    <xf numFmtId="0" fontId="48" fillId="29" borderId="17" xfId="0" applyFont="1" applyFill="1" applyBorder="1" applyAlignment="1">
      <alignment horizontal="center"/>
    </xf>
    <xf numFmtId="0" fontId="48" fillId="0" borderId="18" xfId="0" applyFont="1" applyBorder="1" applyAlignment="1">
      <alignment horizontal="center"/>
    </xf>
    <xf numFmtId="0" fontId="49" fillId="18" borderId="16" xfId="0" applyFont="1" applyFill="1" applyBorder="1" applyAlignment="1">
      <alignment horizontal="center"/>
    </xf>
    <xf numFmtId="0" fontId="50" fillId="0" borderId="17" xfId="0" applyFont="1" applyBorder="1" applyAlignment="1">
      <alignment horizontal="center"/>
    </xf>
    <xf numFmtId="0" fontId="49" fillId="19" borderId="17" xfId="0" applyFont="1" applyFill="1" applyBorder="1" applyAlignment="1">
      <alignment horizontal="center"/>
    </xf>
    <xf numFmtId="0" fontId="49" fillId="20" borderId="17" xfId="0" applyFont="1" applyFill="1" applyBorder="1" applyAlignment="1">
      <alignment horizontal="center"/>
    </xf>
    <xf numFmtId="0" fontId="49" fillId="21" borderId="17" xfId="0" applyFont="1" applyFill="1" applyBorder="1" applyAlignment="1">
      <alignment horizontal="center"/>
    </xf>
    <xf numFmtId="0" fontId="49" fillId="22" borderId="17" xfId="0" applyFont="1" applyFill="1" applyBorder="1" applyAlignment="1">
      <alignment horizontal="center"/>
    </xf>
    <xf numFmtId="0" fontId="49" fillId="23" borderId="17" xfId="0" applyFont="1" applyFill="1" applyBorder="1" applyAlignment="1">
      <alignment horizontal="center"/>
    </xf>
    <xf numFmtId="0" fontId="49" fillId="24" borderId="17" xfId="0" applyFont="1" applyFill="1" applyBorder="1" applyAlignment="1">
      <alignment horizontal="center"/>
    </xf>
    <xf numFmtId="0" fontId="49" fillId="25" borderId="17" xfId="0" applyFont="1" applyFill="1" applyBorder="1" applyAlignment="1">
      <alignment horizontal="center"/>
    </xf>
    <xf numFmtId="0" fontId="49" fillId="26" borderId="17" xfId="0" applyFont="1" applyFill="1" applyBorder="1" applyAlignment="1">
      <alignment horizontal="center"/>
    </xf>
    <xf numFmtId="0" fontId="49" fillId="27" borderId="17" xfId="0" applyFont="1" applyFill="1" applyBorder="1" applyAlignment="1">
      <alignment horizontal="center"/>
    </xf>
    <xf numFmtId="0" fontId="49" fillId="28" borderId="17" xfId="0" applyFont="1" applyFill="1" applyBorder="1" applyAlignment="1">
      <alignment horizontal="center"/>
    </xf>
    <xf numFmtId="0" fontId="49" fillId="29" borderId="17" xfId="0" applyFont="1" applyFill="1" applyBorder="1" applyAlignment="1">
      <alignment horizontal="center"/>
    </xf>
    <xf numFmtId="0" fontId="50" fillId="0" borderId="18" xfId="0" applyFont="1" applyBorder="1" applyAlignment="1">
      <alignment horizontal="center"/>
    </xf>
    <xf numFmtId="171" fontId="10" fillId="18" borderId="16" xfId="0" applyNumberFormat="1" applyFont="1" applyFill="1" applyBorder="1" applyAlignment="1">
      <alignment horizontal="right"/>
    </xf>
    <xf numFmtId="171" fontId="38" fillId="0" borderId="17" xfId="0" applyNumberFormat="1" applyFont="1" applyBorder="1" applyAlignment="1">
      <alignment horizontal="right"/>
    </xf>
    <xf numFmtId="171" fontId="10" fillId="19" borderId="17" xfId="0" applyNumberFormat="1" applyFont="1" applyFill="1" applyBorder="1" applyAlignment="1">
      <alignment horizontal="right"/>
    </xf>
    <xf numFmtId="171" fontId="10" fillId="20" borderId="17" xfId="0" applyNumberFormat="1" applyFont="1" applyFill="1" applyBorder="1" applyAlignment="1">
      <alignment horizontal="right"/>
    </xf>
    <xf numFmtId="171" fontId="10" fillId="21" borderId="17" xfId="0" applyNumberFormat="1" applyFont="1" applyFill="1" applyBorder="1" applyAlignment="1">
      <alignment horizontal="right"/>
    </xf>
    <xf numFmtId="171" fontId="10" fillId="22" borderId="17" xfId="0" applyNumberFormat="1" applyFont="1" applyFill="1" applyBorder="1" applyAlignment="1">
      <alignment horizontal="right"/>
    </xf>
    <xf numFmtId="171" fontId="10" fillId="23" borderId="17" xfId="0" applyNumberFormat="1" applyFont="1" applyFill="1" applyBorder="1" applyAlignment="1">
      <alignment horizontal="right"/>
    </xf>
    <xf numFmtId="171" fontId="10" fillId="24" borderId="17" xfId="0" applyNumberFormat="1" applyFont="1" applyFill="1" applyBorder="1" applyAlignment="1">
      <alignment horizontal="right"/>
    </xf>
    <xf numFmtId="171" fontId="10" fillId="25" borderId="17" xfId="0" applyNumberFormat="1" applyFont="1" applyFill="1" applyBorder="1" applyAlignment="1">
      <alignment horizontal="right"/>
    </xf>
    <xf numFmtId="171" fontId="10" fillId="26" borderId="17" xfId="0" applyNumberFormat="1" applyFont="1" applyFill="1" applyBorder="1" applyAlignment="1">
      <alignment horizontal="right"/>
    </xf>
    <xf numFmtId="171" fontId="10" fillId="27" borderId="17" xfId="0" applyNumberFormat="1" applyFont="1" applyFill="1" applyBorder="1" applyAlignment="1">
      <alignment horizontal="right"/>
    </xf>
    <xf numFmtId="171" fontId="10" fillId="28" borderId="17" xfId="0" applyNumberFormat="1" applyFont="1" applyFill="1" applyBorder="1" applyAlignment="1">
      <alignment horizontal="right"/>
    </xf>
    <xf numFmtId="171" fontId="10" fillId="29" borderId="17" xfId="0" applyNumberFormat="1" applyFont="1" applyFill="1" applyBorder="1" applyAlignment="1">
      <alignment horizontal="right"/>
    </xf>
    <xf numFmtId="171" fontId="38" fillId="0" borderId="18" xfId="0" applyNumberFormat="1" applyFont="1" applyBorder="1" applyAlignment="1">
      <alignment horizontal="right"/>
    </xf>
    <xf numFmtId="171" fontId="51" fillId="18" borderId="16" xfId="0" applyNumberFormat="1" applyFont="1" applyFill="1" applyBorder="1" applyAlignment="1">
      <alignment horizontal="right"/>
    </xf>
    <xf numFmtId="171" fontId="13" fillId="0" borderId="17" xfId="0" applyNumberFormat="1" applyFont="1" applyBorder="1" applyAlignment="1">
      <alignment horizontal="right"/>
    </xf>
    <xf numFmtId="171" fontId="51" fillId="19" borderId="17" xfId="0" applyNumberFormat="1" applyFont="1" applyFill="1" applyBorder="1" applyAlignment="1">
      <alignment horizontal="right"/>
    </xf>
    <xf numFmtId="171" fontId="51" fillId="20" borderId="17" xfId="0" applyNumberFormat="1" applyFont="1" applyFill="1" applyBorder="1" applyAlignment="1">
      <alignment horizontal="right"/>
    </xf>
    <xf numFmtId="171" fontId="51" fillId="21" borderId="17" xfId="0" applyNumberFormat="1" applyFont="1" applyFill="1" applyBorder="1" applyAlignment="1">
      <alignment horizontal="right"/>
    </xf>
    <xf numFmtId="171" fontId="51" fillId="22" borderId="17" xfId="0" applyNumberFormat="1" applyFont="1" applyFill="1" applyBorder="1" applyAlignment="1">
      <alignment horizontal="right"/>
    </xf>
    <xf numFmtId="171" fontId="51" fillId="23" borderId="17" xfId="0" applyNumberFormat="1" applyFont="1" applyFill="1" applyBorder="1" applyAlignment="1">
      <alignment horizontal="right"/>
    </xf>
    <xf numFmtId="171" fontId="51" fillId="24" borderId="17" xfId="0" applyNumberFormat="1" applyFont="1" applyFill="1" applyBorder="1" applyAlignment="1">
      <alignment horizontal="right"/>
    </xf>
    <xf numFmtId="171" fontId="51" fillId="25" borderId="17" xfId="0" applyNumberFormat="1" applyFont="1" applyFill="1" applyBorder="1" applyAlignment="1">
      <alignment horizontal="right"/>
    </xf>
    <xf numFmtId="171" fontId="51" fillId="26" borderId="17" xfId="0" applyNumberFormat="1" applyFont="1" applyFill="1" applyBorder="1" applyAlignment="1">
      <alignment horizontal="right"/>
    </xf>
    <xf numFmtId="171" fontId="51" fillId="27" borderId="17" xfId="0" applyNumberFormat="1" applyFont="1" applyFill="1" applyBorder="1" applyAlignment="1">
      <alignment horizontal="right"/>
    </xf>
    <xf numFmtId="171" fontId="51" fillId="28" borderId="17" xfId="0" applyNumberFormat="1" applyFont="1" applyFill="1" applyBorder="1" applyAlignment="1">
      <alignment horizontal="right"/>
    </xf>
    <xf numFmtId="171" fontId="51" fillId="29" borderId="17" xfId="0" applyNumberFormat="1" applyFont="1" applyFill="1" applyBorder="1" applyAlignment="1">
      <alignment horizontal="right"/>
    </xf>
    <xf numFmtId="171" fontId="13" fillId="0" borderId="18" xfId="0" applyNumberFormat="1" applyFont="1" applyBorder="1" applyAlignment="1">
      <alignment horizontal="right"/>
    </xf>
    <xf numFmtId="9" fontId="51" fillId="18" borderId="16" xfId="0" applyNumberFormat="1" applyFont="1" applyFill="1" applyBorder="1" applyAlignment="1">
      <alignment horizontal="center"/>
    </xf>
    <xf numFmtId="9" fontId="13" fillId="0" borderId="17" xfId="0" applyNumberFormat="1" applyFont="1" applyBorder="1" applyAlignment="1">
      <alignment horizontal="center"/>
    </xf>
    <xf numFmtId="9" fontId="51" fillId="19" borderId="17" xfId="0" applyNumberFormat="1" applyFont="1" applyFill="1" applyBorder="1" applyAlignment="1">
      <alignment horizontal="center"/>
    </xf>
    <xf numFmtId="9" fontId="51" fillId="20" borderId="17" xfId="0" applyNumberFormat="1" applyFont="1" applyFill="1" applyBorder="1" applyAlignment="1">
      <alignment horizontal="center"/>
    </xf>
    <xf numFmtId="9" fontId="51" fillId="21" borderId="17" xfId="0" applyNumberFormat="1" applyFont="1" applyFill="1" applyBorder="1" applyAlignment="1">
      <alignment horizontal="center"/>
    </xf>
    <xf numFmtId="9" fontId="51" fillId="22" borderId="17" xfId="0" applyNumberFormat="1" applyFont="1" applyFill="1" applyBorder="1" applyAlignment="1">
      <alignment horizontal="center"/>
    </xf>
    <xf numFmtId="9" fontId="51" fillId="23" borderId="17" xfId="0" applyNumberFormat="1" applyFont="1" applyFill="1" applyBorder="1" applyAlignment="1">
      <alignment horizontal="center"/>
    </xf>
    <xf numFmtId="9" fontId="51" fillId="24" borderId="17" xfId="0" applyNumberFormat="1" applyFont="1" applyFill="1" applyBorder="1" applyAlignment="1">
      <alignment horizontal="center"/>
    </xf>
    <xf numFmtId="9" fontId="51" fillId="25" borderId="17" xfId="0" applyNumberFormat="1" applyFont="1" applyFill="1" applyBorder="1" applyAlignment="1">
      <alignment horizontal="center"/>
    </xf>
    <xf numFmtId="9" fontId="51" fillId="26" borderId="17" xfId="0" applyNumberFormat="1" applyFont="1" applyFill="1" applyBorder="1" applyAlignment="1">
      <alignment horizontal="center"/>
    </xf>
    <xf numFmtId="9" fontId="51" fillId="27" borderId="17" xfId="0" applyNumberFormat="1" applyFont="1" applyFill="1" applyBorder="1" applyAlignment="1">
      <alignment horizontal="center"/>
    </xf>
    <xf numFmtId="9" fontId="51" fillId="28" borderId="17" xfId="0" applyNumberFormat="1" applyFont="1" applyFill="1" applyBorder="1" applyAlignment="1">
      <alignment horizontal="center"/>
    </xf>
    <xf numFmtId="9" fontId="51" fillId="29" borderId="17" xfId="0" applyNumberFormat="1" applyFont="1" applyFill="1" applyBorder="1" applyAlignment="1">
      <alignment horizontal="center"/>
    </xf>
    <xf numFmtId="9" fontId="13" fillId="0" borderId="18" xfId="0" applyNumberFormat="1" applyFont="1" applyBorder="1" applyAlignment="1">
      <alignment horizontal="center"/>
    </xf>
    <xf numFmtId="171" fontId="47" fillId="0" borderId="17" xfId="0" applyNumberFormat="1" applyFont="1" applyBorder="1" applyAlignment="1">
      <alignment horizontal="right"/>
    </xf>
    <xf numFmtId="171" fontId="47" fillId="0" borderId="18" xfId="0" applyNumberFormat="1" applyFont="1" applyBorder="1" applyAlignment="1">
      <alignment horizontal="right"/>
    </xf>
    <xf numFmtId="0" fontId="52" fillId="18" borderId="16" xfId="0" applyFont="1" applyFill="1" applyBorder="1"/>
    <xf numFmtId="0" fontId="53" fillId="0" borderId="17" xfId="0" applyFont="1" applyBorder="1"/>
    <xf numFmtId="0" fontId="52" fillId="19" borderId="17" xfId="0" applyFont="1" applyFill="1" applyBorder="1"/>
    <xf numFmtId="0" fontId="52" fillId="20" borderId="17" xfId="0" applyFont="1" applyFill="1" applyBorder="1"/>
    <xf numFmtId="0" fontId="52" fillId="21" borderId="17" xfId="0" applyFont="1" applyFill="1" applyBorder="1"/>
    <xf numFmtId="0" fontId="52" fillId="22" borderId="17" xfId="0" applyFont="1" applyFill="1" applyBorder="1"/>
    <xf numFmtId="0" fontId="52" fillId="23" borderId="17" xfId="0" applyFont="1" applyFill="1" applyBorder="1"/>
    <xf numFmtId="0" fontId="52" fillId="24" borderId="17" xfId="0" applyFont="1" applyFill="1" applyBorder="1"/>
    <xf numFmtId="0" fontId="52" fillId="25" borderId="17" xfId="0" applyFont="1" applyFill="1" applyBorder="1"/>
    <xf numFmtId="0" fontId="52" fillId="26" borderId="17" xfId="0" applyFont="1" applyFill="1" applyBorder="1"/>
    <xf numFmtId="0" fontId="52" fillId="27" borderId="17" xfId="0" applyFont="1" applyFill="1" applyBorder="1"/>
    <xf numFmtId="0" fontId="52" fillId="28" borderId="17" xfId="0" applyFont="1" applyFill="1" applyBorder="1"/>
    <xf numFmtId="0" fontId="52" fillId="29" borderId="17" xfId="0" applyFont="1" applyFill="1" applyBorder="1"/>
    <xf numFmtId="0" fontId="53" fillId="0" borderId="18" xfId="0" applyFont="1" applyBorder="1"/>
    <xf numFmtId="0" fontId="46" fillId="30" borderId="17" xfId="0" applyFont="1" applyFill="1" applyBorder="1" applyAlignment="1">
      <alignment horizontal="center"/>
    </xf>
    <xf numFmtId="0" fontId="38" fillId="30" borderId="17" xfId="0" applyFont="1" applyFill="1" applyBorder="1" applyAlignment="1">
      <alignment horizontal="center"/>
    </xf>
    <xf numFmtId="0" fontId="48" fillId="30" borderId="17" xfId="0" applyFont="1" applyFill="1" applyBorder="1" applyAlignment="1">
      <alignment horizontal="center"/>
    </xf>
    <xf numFmtId="0" fontId="50" fillId="30" borderId="17" xfId="0" applyFont="1" applyFill="1" applyBorder="1" applyAlignment="1">
      <alignment horizontal="center"/>
    </xf>
    <xf numFmtId="0" fontId="38" fillId="30" borderId="17" xfId="0" applyFont="1" applyFill="1" applyBorder="1"/>
    <xf numFmtId="171" fontId="38" fillId="30" borderId="17" xfId="0" applyNumberFormat="1" applyFont="1" applyFill="1" applyBorder="1" applyAlignment="1">
      <alignment horizontal="right"/>
    </xf>
    <xf numFmtId="171" fontId="13" fillId="30" borderId="17" xfId="0" applyNumberFormat="1" applyFont="1" applyFill="1" applyBorder="1" applyAlignment="1">
      <alignment horizontal="right"/>
    </xf>
    <xf numFmtId="9" fontId="13" fillId="30" borderId="17" xfId="0" applyNumberFormat="1" applyFont="1" applyFill="1" applyBorder="1" applyAlignment="1">
      <alignment horizontal="center"/>
    </xf>
    <xf numFmtId="171" fontId="47" fillId="30" borderId="17" xfId="0" applyNumberFormat="1" applyFont="1" applyFill="1" applyBorder="1" applyAlignment="1">
      <alignment horizontal="right"/>
    </xf>
    <xf numFmtId="0" fontId="44" fillId="30" borderId="17" xfId="0" applyFont="1" applyFill="1" applyBorder="1" applyAlignment="1">
      <alignment horizontal="center"/>
    </xf>
    <xf numFmtId="0" fontId="53" fillId="30" borderId="17" xfId="0" applyFont="1" applyFill="1" applyBorder="1"/>
    <xf numFmtId="0" fontId="54" fillId="0" borderId="0" xfId="0" applyFont="1"/>
    <xf numFmtId="0" fontId="55" fillId="0" borderId="0" xfId="0" applyFont="1"/>
    <xf numFmtId="0" fontId="29" fillId="30" borderId="0" xfId="0" applyFont="1" applyFill="1"/>
    <xf numFmtId="0" fontId="57" fillId="0" borderId="0" xfId="0" applyFont="1"/>
    <xf numFmtId="0" fontId="29" fillId="0" borderId="13" xfId="0" applyFont="1" applyBorder="1"/>
    <xf numFmtId="0" fontId="28" fillId="0" borderId="13" xfId="0" applyFont="1" applyBorder="1" applyAlignment="1">
      <alignment horizontal="center"/>
    </xf>
    <xf numFmtId="0" fontId="28" fillId="0" borderId="13" xfId="0" applyFont="1" applyBorder="1"/>
    <xf numFmtId="171" fontId="12" fillId="0" borderId="13" xfId="0" applyNumberFormat="1" applyFont="1" applyBorder="1"/>
    <xf numFmtId="171" fontId="29" fillId="0" borderId="13" xfId="0" applyNumberFormat="1" applyFont="1" applyBorder="1"/>
    <xf numFmtId="0" fontId="57" fillId="0" borderId="13" xfId="0" applyFont="1" applyBorder="1"/>
    <xf numFmtId="0" fontId="56" fillId="0" borderId="13" xfId="0" applyFont="1" applyBorder="1"/>
    <xf numFmtId="0" fontId="28" fillId="30" borderId="14" xfId="0" applyFont="1" applyFill="1" applyBorder="1"/>
    <xf numFmtId="0" fontId="28" fillId="30" borderId="14" xfId="0" applyFont="1" applyFill="1" applyBorder="1" applyAlignment="1">
      <alignment horizontal="center"/>
    </xf>
    <xf numFmtId="171" fontId="12" fillId="30" borderId="14" xfId="0" applyNumberFormat="1" applyFont="1" applyFill="1" applyBorder="1"/>
    <xf numFmtId="171" fontId="29" fillId="30" borderId="14" xfId="0" applyNumberFormat="1" applyFont="1" applyFill="1" applyBorder="1"/>
    <xf numFmtId="0" fontId="57" fillId="30" borderId="14" xfId="0" applyFont="1" applyFill="1" applyBorder="1"/>
    <xf numFmtId="0" fontId="56" fillId="30" borderId="14" xfId="0" applyFont="1" applyFill="1" applyBorder="1"/>
    <xf numFmtId="0" fontId="28" fillId="0" borderId="14" xfId="0" applyFont="1" applyBorder="1"/>
    <xf numFmtId="0" fontId="28" fillId="0" borderId="14" xfId="0" applyFont="1" applyBorder="1" applyAlignment="1">
      <alignment horizontal="center"/>
    </xf>
    <xf numFmtId="171" fontId="12" fillId="0" borderId="14" xfId="0" applyNumberFormat="1" applyFont="1" applyBorder="1"/>
    <xf numFmtId="171" fontId="29" fillId="0" borderId="14" xfId="0" applyNumberFormat="1" applyFont="1" applyBorder="1"/>
    <xf numFmtId="0" fontId="57" fillId="0" borderId="14" xfId="0" applyFont="1" applyBorder="1"/>
    <xf numFmtId="0" fontId="56" fillId="0" borderId="14" xfId="0" applyFont="1" applyBorder="1"/>
    <xf numFmtId="0" fontId="29" fillId="0" borderId="14" xfId="0" applyFont="1" applyBorder="1"/>
    <xf numFmtId="0" fontId="29" fillId="30" borderId="14" xfId="0" applyFont="1" applyFill="1" applyBorder="1"/>
    <xf numFmtId="0" fontId="29" fillId="0" borderId="15" xfId="0" applyFont="1" applyBorder="1"/>
    <xf numFmtId="0" fontId="28" fillId="0" borderId="15" xfId="0" applyFont="1" applyBorder="1" applyAlignment="1">
      <alignment horizontal="center"/>
    </xf>
    <xf numFmtId="0" fontId="28" fillId="0" borderId="15" xfId="0" applyFont="1" applyBorder="1"/>
    <xf numFmtId="171" fontId="12" fillId="0" borderId="15" xfId="0" applyNumberFormat="1" applyFont="1" applyBorder="1"/>
    <xf numFmtId="171" fontId="29" fillId="0" borderId="15" xfId="0" applyNumberFormat="1" applyFont="1" applyBorder="1"/>
    <xf numFmtId="0" fontId="57" fillId="0" borderId="15" xfId="0" applyFont="1" applyBorder="1"/>
    <xf numFmtId="0" fontId="56" fillId="0" borderId="15" xfId="0" applyFont="1" applyBorder="1"/>
    <xf numFmtId="164" fontId="17" fillId="8" borderId="0" xfId="0" applyNumberFormat="1" applyFont="1" applyFill="1" applyBorder="1" applyAlignment="1">
      <alignment horizontal="center" vertical="center" wrapText="1"/>
    </xf>
    <xf numFmtId="171" fontId="14" fillId="14" borderId="0" xfId="0" applyNumberFormat="1" applyFont="1" applyFill="1" applyAlignment="1">
      <alignment horizontal="right"/>
    </xf>
    <xf numFmtId="0" fontId="58" fillId="0" borderId="0" xfId="0" applyFont="1"/>
    <xf numFmtId="0" fontId="0" fillId="13" borderId="0" xfId="0" applyFill="1"/>
    <xf numFmtId="0" fontId="43" fillId="13" borderId="0" xfId="0" applyFont="1" applyFill="1"/>
    <xf numFmtId="0" fontId="59" fillId="0" borderId="0" xfId="0" applyFont="1"/>
    <xf numFmtId="0" fontId="1" fillId="9" borderId="0" xfId="0" applyFont="1" applyFill="1" applyAlignment="1">
      <alignment horizontal="left"/>
    </xf>
    <xf numFmtId="0" fontId="4" fillId="3" borderId="19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164" fontId="6" fillId="5" borderId="19" xfId="0" applyNumberFormat="1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left" vertical="center" wrapText="1"/>
    </xf>
    <xf numFmtId="164" fontId="8" fillId="5" borderId="19" xfId="0" applyNumberFormat="1" applyFont="1" applyFill="1" applyBorder="1" applyAlignment="1">
      <alignment horizontal="center" vertical="center" wrapText="1"/>
    </xf>
    <xf numFmtId="0" fontId="60" fillId="13" borderId="0" xfId="0" applyFont="1" applyFill="1"/>
    <xf numFmtId="0" fontId="11" fillId="0" borderId="1" xfId="0" applyFont="1" applyBorder="1"/>
    <xf numFmtId="0" fontId="11" fillId="10" borderId="1" xfId="0" applyFont="1" applyFill="1" applyBorder="1"/>
    <xf numFmtId="0" fontId="10" fillId="9" borderId="1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10" borderId="1" xfId="0" applyFont="1" applyFill="1" applyBorder="1" applyAlignment="1">
      <alignment horizontal="center"/>
    </xf>
    <xf numFmtId="170" fontId="12" fillId="0" borderId="1" xfId="0" applyNumberFormat="1" applyFont="1" applyBorder="1" applyAlignment="1">
      <alignment horizontal="right"/>
    </xf>
    <xf numFmtId="170" fontId="12" fillId="10" borderId="1" xfId="0" applyNumberFormat="1" applyFont="1" applyFill="1" applyBorder="1" applyAlignment="1">
      <alignment horizontal="right"/>
    </xf>
    <xf numFmtId="0" fontId="3" fillId="13" borderId="20" xfId="0" applyFont="1" applyFill="1" applyBorder="1" applyAlignment="1">
      <alignment horizontal="right"/>
    </xf>
    <xf numFmtId="170" fontId="17" fillId="16" borderId="20" xfId="0" applyNumberFormat="1" applyFont="1" applyFill="1" applyBorder="1" applyAlignment="1">
      <alignment horizontal="right"/>
    </xf>
    <xf numFmtId="0" fontId="26" fillId="0" borderId="1" xfId="0" applyFont="1" applyBorder="1" applyAlignment="1">
      <alignment horizontal="center"/>
    </xf>
    <xf numFmtId="0" fontId="26" fillId="10" borderId="1" xfId="0" applyFont="1" applyFill="1" applyBorder="1" applyAlignment="1">
      <alignment horizontal="center"/>
    </xf>
    <xf numFmtId="170" fontId="11" fillId="0" borderId="1" xfId="0" applyNumberFormat="1" applyFont="1" applyBorder="1" applyAlignment="1">
      <alignment horizontal="right"/>
    </xf>
    <xf numFmtId="170" fontId="11" fillId="10" borderId="1" xfId="0" applyNumberFormat="1" applyFont="1" applyFill="1" applyBorder="1" applyAlignment="1">
      <alignment horizontal="right"/>
    </xf>
    <xf numFmtId="2" fontId="12" fillId="10" borderId="0" xfId="0" applyNumberFormat="1" applyFont="1" applyFill="1" applyBorder="1" applyAlignment="1">
      <alignment horizontal="center"/>
    </xf>
    <xf numFmtId="170" fontId="12" fillId="10" borderId="0" xfId="0" applyNumberFormat="1" applyFont="1" applyFill="1" applyBorder="1" applyAlignment="1">
      <alignment horizontal="center"/>
    </xf>
    <xf numFmtId="0" fontId="40" fillId="10" borderId="0" xfId="0" applyFont="1" applyFill="1" applyBorder="1"/>
    <xf numFmtId="2" fontId="13" fillId="10" borderId="0" xfId="0" applyNumberFormat="1" applyFont="1" applyFill="1" applyBorder="1" applyAlignment="1">
      <alignment horizontal="center"/>
    </xf>
    <xf numFmtId="0" fontId="11" fillId="10" borderId="0" xfId="0" applyFont="1" applyFill="1" applyBorder="1"/>
    <xf numFmtId="0" fontId="5" fillId="10" borderId="0" xfId="0" applyFont="1" applyFill="1" applyBorder="1"/>
    <xf numFmtId="0" fontId="5" fillId="10" borderId="21" xfId="0" applyFont="1" applyFill="1" applyBorder="1"/>
    <xf numFmtId="0" fontId="61" fillId="10" borderId="0" xfId="0" applyFont="1" applyFill="1" applyBorder="1" applyAlignment="1">
      <alignment horizontal="center"/>
    </xf>
    <xf numFmtId="0" fontId="61" fillId="10" borderId="22" xfId="0" applyFont="1" applyFill="1" applyBorder="1" applyAlignment="1">
      <alignment horizontal="center"/>
    </xf>
    <xf numFmtId="2" fontId="12" fillId="10" borderId="22" xfId="0" applyNumberFormat="1" applyFont="1" applyFill="1" applyBorder="1" applyAlignment="1">
      <alignment horizontal="center"/>
    </xf>
    <xf numFmtId="170" fontId="12" fillId="10" borderId="22" xfId="0" applyNumberFormat="1" applyFont="1" applyFill="1" applyBorder="1" applyAlignment="1">
      <alignment horizontal="center"/>
    </xf>
    <xf numFmtId="0" fontId="40" fillId="10" borderId="22" xfId="0" applyFont="1" applyFill="1" applyBorder="1"/>
    <xf numFmtId="0" fontId="11" fillId="10" borderId="23" xfId="0" applyFont="1" applyFill="1" applyBorder="1"/>
    <xf numFmtId="0" fontId="61" fillId="10" borderId="25" xfId="0" applyFont="1" applyFill="1" applyBorder="1" applyAlignment="1">
      <alignment horizontal="center"/>
    </xf>
    <xf numFmtId="2" fontId="12" fillId="10" borderId="25" xfId="0" applyNumberFormat="1" applyFont="1" applyFill="1" applyBorder="1" applyAlignment="1">
      <alignment horizontal="center"/>
    </xf>
    <xf numFmtId="170" fontId="12" fillId="10" borderId="25" xfId="0" applyNumberFormat="1" applyFont="1" applyFill="1" applyBorder="1" applyAlignment="1">
      <alignment horizontal="center"/>
    </xf>
    <xf numFmtId="0" fontId="40" fillId="10" borderId="25" xfId="0" applyFont="1" applyFill="1" applyBorder="1"/>
    <xf numFmtId="0" fontId="11" fillId="10" borderId="26" xfId="0" applyFont="1" applyFill="1" applyBorder="1"/>
    <xf numFmtId="0" fontId="61" fillId="10" borderId="27" xfId="0" applyFont="1" applyFill="1" applyBorder="1" applyAlignment="1">
      <alignment horizontal="center"/>
    </xf>
    <xf numFmtId="2" fontId="12" fillId="10" borderId="27" xfId="0" applyNumberFormat="1" applyFont="1" applyFill="1" applyBorder="1" applyAlignment="1">
      <alignment horizontal="center"/>
    </xf>
    <xf numFmtId="170" fontId="12" fillId="10" borderId="27" xfId="0" applyNumberFormat="1" applyFont="1" applyFill="1" applyBorder="1" applyAlignment="1">
      <alignment horizontal="center"/>
    </xf>
    <xf numFmtId="0" fontId="40" fillId="10" borderId="27" xfId="0" applyFont="1" applyFill="1" applyBorder="1"/>
    <xf numFmtId="2" fontId="13" fillId="10" borderId="22" xfId="0" applyNumberFormat="1" applyFont="1" applyFill="1" applyBorder="1" applyAlignment="1">
      <alignment horizontal="center"/>
    </xf>
    <xf numFmtId="173" fontId="13" fillId="10" borderId="22" xfId="0" applyNumberFormat="1" applyFont="1" applyFill="1" applyBorder="1" applyAlignment="1">
      <alignment horizontal="center"/>
    </xf>
    <xf numFmtId="0" fontId="62" fillId="10" borderId="23" xfId="0" applyFont="1" applyFill="1" applyBorder="1"/>
    <xf numFmtId="2" fontId="13" fillId="10" borderId="25" xfId="0" applyNumberFormat="1" applyFont="1" applyFill="1" applyBorder="1" applyAlignment="1">
      <alignment horizontal="center"/>
    </xf>
    <xf numFmtId="173" fontId="13" fillId="10" borderId="25" xfId="0" applyNumberFormat="1" applyFont="1" applyFill="1" applyBorder="1" applyAlignment="1">
      <alignment horizontal="center"/>
    </xf>
    <xf numFmtId="0" fontId="62" fillId="10" borderId="26" xfId="0" applyFont="1" applyFill="1" applyBorder="1"/>
    <xf numFmtId="2" fontId="13" fillId="10" borderId="27" xfId="0" applyNumberFormat="1" applyFont="1" applyFill="1" applyBorder="1" applyAlignment="1">
      <alignment horizontal="center"/>
    </xf>
    <xf numFmtId="173" fontId="13" fillId="10" borderId="27" xfId="0" applyNumberFormat="1" applyFont="1" applyFill="1" applyBorder="1" applyAlignment="1">
      <alignment horizontal="center"/>
    </xf>
    <xf numFmtId="0" fontId="5" fillId="12" borderId="23" xfId="0" applyFont="1" applyFill="1" applyBorder="1"/>
    <xf numFmtId="0" fontId="11" fillId="12" borderId="23" xfId="0" applyFont="1" applyFill="1" applyBorder="1" applyAlignment="1">
      <alignment horizontal="center"/>
    </xf>
    <xf numFmtId="0" fontId="11" fillId="12" borderId="23" xfId="0" applyFont="1" applyFill="1" applyBorder="1"/>
    <xf numFmtId="171" fontId="12" fillId="12" borderId="23" xfId="0" applyNumberFormat="1" applyFont="1" applyFill="1" applyBorder="1"/>
    <xf numFmtId="171" fontId="5" fillId="12" borderId="23" xfId="0" applyNumberFormat="1" applyFont="1" applyFill="1" applyBorder="1"/>
    <xf numFmtId="0" fontId="57" fillId="12" borderId="23" xfId="0" applyFont="1" applyFill="1" applyBorder="1"/>
    <xf numFmtId="0" fontId="56" fillId="12" borderId="23" xfId="0" applyFont="1" applyFill="1" applyBorder="1"/>
    <xf numFmtId="0" fontId="5" fillId="30" borderId="24" xfId="0" applyFont="1" applyFill="1" applyBorder="1"/>
    <xf numFmtId="0" fontId="11" fillId="30" borderId="24" xfId="0" applyFont="1" applyFill="1" applyBorder="1" applyAlignment="1">
      <alignment horizontal="center"/>
    </xf>
    <xf numFmtId="0" fontId="11" fillId="30" borderId="24" xfId="0" applyFont="1" applyFill="1" applyBorder="1"/>
    <xf numFmtId="171" fontId="12" fillId="30" borderId="24" xfId="0" applyNumberFormat="1" applyFont="1" applyFill="1" applyBorder="1"/>
    <xf numFmtId="171" fontId="5" fillId="30" borderId="24" xfId="0" applyNumberFormat="1" applyFont="1" applyFill="1" applyBorder="1"/>
    <xf numFmtId="0" fontId="57" fillId="30" borderId="24" xfId="0" applyFont="1" applyFill="1" applyBorder="1"/>
    <xf numFmtId="0" fontId="56" fillId="30" borderId="24" xfId="0" applyFont="1" applyFill="1" applyBorder="1"/>
    <xf numFmtId="0" fontId="35" fillId="10" borderId="0" xfId="0" applyFont="1" applyFill="1" applyBorder="1"/>
    <xf numFmtId="0" fontId="29" fillId="12" borderId="0" xfId="0" applyFont="1" applyFill="1"/>
    <xf numFmtId="0" fontId="0" fillId="12" borderId="0" xfId="0" applyFill="1" applyAlignment="1">
      <alignment horizontal="center"/>
    </xf>
    <xf numFmtId="0" fontId="0" fillId="12" borderId="0" xfId="0" applyFill="1"/>
    <xf numFmtId="0" fontId="30" fillId="12" borderId="0" xfId="0" applyFont="1" applyFill="1"/>
    <xf numFmtId="0" fontId="37" fillId="12" borderId="0" xfId="0" applyFont="1" applyFill="1"/>
    <xf numFmtId="0" fontId="63" fillId="12" borderId="0" xfId="0" applyFont="1" applyFill="1"/>
    <xf numFmtId="0" fontId="0" fillId="30" borderId="0" xfId="0" applyFill="1" applyAlignment="1">
      <alignment horizontal="center"/>
    </xf>
    <xf numFmtId="0" fontId="0" fillId="30" borderId="0" xfId="0" applyFill="1"/>
    <xf numFmtId="0" fontId="30" fillId="30" borderId="0" xfId="0" applyFont="1" applyFill="1"/>
    <xf numFmtId="0" fontId="37" fillId="30" borderId="0" xfId="0" applyFont="1" applyFill="1"/>
    <xf numFmtId="0" fontId="63" fillId="30" borderId="0" xfId="0" applyFont="1" applyFill="1"/>
    <xf numFmtId="0" fontId="12" fillId="13" borderId="0" xfId="0" applyFont="1" applyFill="1" applyAlignment="1">
      <alignment horizontal="center"/>
    </xf>
    <xf numFmtId="2" fontId="19" fillId="13" borderId="0" xfId="0" applyNumberFormat="1" applyFont="1" applyFill="1" applyAlignment="1">
      <alignment horizontal="center"/>
    </xf>
    <xf numFmtId="170" fontId="19" fillId="13" borderId="0" xfId="0" applyNumberFormat="1" applyFont="1" applyFill="1" applyAlignment="1">
      <alignment horizontal="right"/>
    </xf>
    <xf numFmtId="171" fontId="14" fillId="13" borderId="0" xfId="0" applyNumberFormat="1" applyFont="1" applyFill="1" applyAlignment="1">
      <alignment horizontal="right"/>
    </xf>
    <xf numFmtId="170" fontId="11" fillId="13" borderId="0" xfId="0" applyNumberFormat="1" applyFont="1" applyFill="1" applyAlignment="1">
      <alignment horizontal="right"/>
    </xf>
    <xf numFmtId="170" fontId="4" fillId="13" borderId="0" xfId="0" applyNumberFormat="1" applyFont="1" applyFill="1" applyAlignment="1">
      <alignment horizontal="right"/>
    </xf>
    <xf numFmtId="9" fontId="12" fillId="13" borderId="0" xfId="0" applyNumberFormat="1" applyFont="1" applyFill="1" applyAlignment="1">
      <alignment horizontal="center"/>
    </xf>
    <xf numFmtId="170" fontId="5" fillId="13" borderId="0" xfId="0" applyNumberFormat="1" applyFont="1" applyFill="1" applyAlignment="1">
      <alignment horizontal="right"/>
    </xf>
    <xf numFmtId="0" fontId="6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8E44AD"/>
      <rgbColor rgb="FFFFF8D0"/>
      <rgbColor rgb="FFE8F8E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FF0"/>
      <rgbColor rgb="FFEFF6FF"/>
      <rgbColor rgb="FFFFF9E6"/>
      <rgbColor rgb="FF99CCFF"/>
      <rgbColor rgb="FFFF99CC"/>
      <rgbColor rgb="FFCC99FF"/>
      <rgbColor rgb="FFFFFDE8"/>
      <rgbColor rgb="FF3366FF"/>
      <rgbColor rgb="FF33CCCC"/>
      <rgbColor rgb="FF99CC00"/>
      <rgbColor rgb="FFFFCC00"/>
      <rgbColor rgb="FFF0A500"/>
      <rgbColor rgb="FFE74C3C"/>
      <rgbColor rgb="FF666666"/>
      <rgbColor rgb="FFAAAAAA"/>
      <rgbColor rgb="FF1A2B3C"/>
      <rgbColor rgb="FF27AE60"/>
      <rgbColor rgb="FF003300"/>
      <rgbColor rgb="FF444444"/>
      <rgbColor rgb="FF993300"/>
      <rgbColor rgb="FF555555"/>
      <rgbColor rgb="FF2E4A6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768021-31D5-A44C-9838-C69B18573ED6}">
  <we:reference id="wa200009404" version="1.0.0.8" store="es-ES" storeType="OMEX"/>
  <we:alternateReferences>
    <we:reference id="wa200009404" version="1.0.0.8" store="es-E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0A500"/>
  </sheetPr>
  <dimension ref="A1:E16"/>
  <sheetViews>
    <sheetView showGridLines="0" zoomScaleNormal="100" workbookViewId="0">
      <selection activeCell="A5" sqref="A5"/>
    </sheetView>
  </sheetViews>
  <sheetFormatPr baseColWidth="10" defaultColWidth="8.6640625" defaultRowHeight="15" x14ac:dyDescent="0.2"/>
  <cols>
    <col min="1" max="1" width="10" customWidth="1"/>
    <col min="2" max="2" width="18" customWidth="1"/>
    <col min="3" max="3" width="14" customWidth="1"/>
    <col min="4" max="4" width="45" customWidth="1"/>
    <col min="5" max="5" width="14" customWidth="1"/>
  </cols>
  <sheetData>
    <row r="1" spans="1:5" ht="27.75" customHeight="1" x14ac:dyDescent="0.2">
      <c r="A1" s="11" t="s">
        <v>174</v>
      </c>
      <c r="B1" s="11"/>
      <c r="C1" s="11"/>
      <c r="D1" s="11"/>
      <c r="E1" s="11"/>
    </row>
    <row r="2" spans="1:5" ht="15" customHeight="1" x14ac:dyDescent="0.2">
      <c r="A2" s="10" t="s">
        <v>0</v>
      </c>
      <c r="B2" s="10"/>
      <c r="C2" s="10"/>
      <c r="D2" s="10"/>
      <c r="E2" s="10"/>
    </row>
    <row r="4" spans="1:5" ht="30" customHeight="1" x14ac:dyDescent="0.2">
      <c r="A4" s="13" t="s">
        <v>1</v>
      </c>
      <c r="B4" s="13" t="s">
        <v>2</v>
      </c>
      <c r="C4" s="13" t="s">
        <v>3</v>
      </c>
      <c r="D4" s="13" t="s">
        <v>4</v>
      </c>
      <c r="E4" s="13" t="s">
        <v>5</v>
      </c>
    </row>
    <row r="5" spans="1:5" ht="36" customHeight="1" x14ac:dyDescent="0.2">
      <c r="A5" s="14" t="s">
        <v>1592</v>
      </c>
      <c r="B5" s="15" t="s">
        <v>1576</v>
      </c>
      <c r="C5" s="16">
        <v>1.1499999999999999</v>
      </c>
      <c r="D5" s="17" t="s">
        <v>1577</v>
      </c>
      <c r="E5" s="18">
        <v>1.1599999999999999</v>
      </c>
    </row>
    <row r="6" spans="1:5" ht="36" customHeight="1" x14ac:dyDescent="0.2">
      <c r="A6" s="14" t="s">
        <v>1593</v>
      </c>
      <c r="B6" s="15" t="s">
        <v>6</v>
      </c>
      <c r="C6" s="16">
        <v>1.25</v>
      </c>
      <c r="D6" s="17" t="s">
        <v>1578</v>
      </c>
      <c r="E6" s="18">
        <v>1.1599999999999999</v>
      </c>
    </row>
    <row r="7" spans="1:5" ht="36" customHeight="1" x14ac:dyDescent="0.2">
      <c r="A7" s="348" t="s">
        <v>1594</v>
      </c>
      <c r="B7" s="349" t="s">
        <v>1579</v>
      </c>
      <c r="C7" s="350">
        <v>1.32</v>
      </c>
      <c r="D7" s="351" t="s">
        <v>1580</v>
      </c>
      <c r="E7" s="352">
        <v>1.1599999999999999</v>
      </c>
    </row>
    <row r="8" spans="1:5" ht="36" customHeight="1" x14ac:dyDescent="0.2">
      <c r="A8" s="14" t="s">
        <v>1595</v>
      </c>
      <c r="B8" s="15" t="s">
        <v>7</v>
      </c>
      <c r="C8" s="16">
        <v>1.4</v>
      </c>
      <c r="D8" s="17" t="s">
        <v>8</v>
      </c>
      <c r="E8" s="18">
        <v>1.1599999999999999</v>
      </c>
    </row>
    <row r="9" spans="1:5" ht="36" customHeight="1" x14ac:dyDescent="0.2">
      <c r="A9" s="14" t="s">
        <v>1596</v>
      </c>
      <c r="B9" s="15" t="s">
        <v>1581</v>
      </c>
      <c r="C9" s="16">
        <v>1.48</v>
      </c>
      <c r="D9" s="17" t="s">
        <v>1582</v>
      </c>
      <c r="E9" s="18">
        <v>1.1599999999999999</v>
      </c>
    </row>
    <row r="10" spans="1:5" ht="36" customHeight="1" x14ac:dyDescent="0.2">
      <c r="A10" s="14" t="s">
        <v>1597</v>
      </c>
      <c r="B10" s="15" t="s">
        <v>9</v>
      </c>
      <c r="C10" s="16">
        <v>1.55</v>
      </c>
      <c r="D10" s="17" t="s">
        <v>1583</v>
      </c>
      <c r="E10" s="18">
        <v>1.1599999999999999</v>
      </c>
    </row>
    <row r="11" spans="1:5" ht="36" customHeight="1" x14ac:dyDescent="0.2">
      <c r="A11" s="14" t="s">
        <v>1598</v>
      </c>
      <c r="B11" s="15" t="s">
        <v>1584</v>
      </c>
      <c r="C11" s="16">
        <v>1.65</v>
      </c>
      <c r="D11" s="17" t="s">
        <v>1585</v>
      </c>
      <c r="E11" s="18">
        <v>1.1599999999999999</v>
      </c>
    </row>
    <row r="12" spans="1:5" ht="36" customHeight="1" x14ac:dyDescent="0.2">
      <c r="A12" s="14" t="s">
        <v>1599</v>
      </c>
      <c r="B12" s="15" t="s">
        <v>1586</v>
      </c>
      <c r="C12" s="16">
        <v>1.75</v>
      </c>
      <c r="D12" s="17" t="s">
        <v>1587</v>
      </c>
      <c r="E12" s="18">
        <v>1.1599999999999999</v>
      </c>
    </row>
    <row r="13" spans="1:5" ht="36" customHeight="1" x14ac:dyDescent="0.2">
      <c r="A13" s="14" t="s">
        <v>1600</v>
      </c>
      <c r="B13" s="15" t="s">
        <v>1588</v>
      </c>
      <c r="C13" s="16">
        <v>1.88</v>
      </c>
      <c r="D13" s="17" t="s">
        <v>1589</v>
      </c>
      <c r="E13" s="18">
        <v>1.1599999999999999</v>
      </c>
    </row>
    <row r="14" spans="1:5" ht="36" customHeight="1" x14ac:dyDescent="0.2">
      <c r="A14" s="14" t="s">
        <v>1601</v>
      </c>
      <c r="B14" s="15" t="s">
        <v>1590</v>
      </c>
      <c r="C14" s="16">
        <v>2</v>
      </c>
      <c r="D14" s="17" t="s">
        <v>1591</v>
      </c>
      <c r="E14" s="18">
        <v>1.1599999999999999</v>
      </c>
    </row>
    <row r="16" spans="1:5" ht="22.25" customHeight="1" x14ac:dyDescent="0.2">
      <c r="A16" s="9" t="s">
        <v>10</v>
      </c>
      <c r="B16" s="9"/>
      <c r="C16" s="9"/>
      <c r="D16" s="9"/>
      <c r="E16" s="9"/>
    </row>
  </sheetData>
  <mergeCells count="3">
    <mergeCell ref="A1:E1"/>
    <mergeCell ref="A2:E2"/>
    <mergeCell ref="A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4A6B"/>
  </sheetPr>
  <dimension ref="A1:L399"/>
  <sheetViews>
    <sheetView showGridLines="0" zoomScaleNormal="100" workbookViewId="0">
      <pane ySplit="5" topLeftCell="A6" activePane="bottomLeft" state="frozen"/>
      <selection pane="bottomLeft" activeCell="P233" sqref="P233"/>
    </sheetView>
  </sheetViews>
  <sheetFormatPr baseColWidth="10" defaultColWidth="8.6640625" defaultRowHeight="15" x14ac:dyDescent="0.2"/>
  <cols>
    <col min="1" max="2" width="13.33203125" customWidth="1"/>
    <col min="3" max="3" width="15.83203125" customWidth="1"/>
    <col min="4" max="4" width="13.33203125" customWidth="1"/>
    <col min="5" max="5" width="50" customWidth="1"/>
    <col min="6" max="6" width="9.1640625" customWidth="1"/>
    <col min="7" max="7" width="11.6640625" customWidth="1"/>
    <col min="8" max="8" width="12.5" customWidth="1"/>
    <col min="9" max="9" width="9.1640625" customWidth="1"/>
    <col min="10" max="10" width="13.33203125" customWidth="1"/>
    <col min="11" max="11" width="5.83203125" customWidth="1"/>
    <col min="12" max="12" width="25" customWidth="1"/>
  </cols>
  <sheetData>
    <row r="1" spans="1:12" ht="27.75" customHeight="1" x14ac:dyDescent="0.2">
      <c r="A1" s="347" t="s">
        <v>280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</row>
    <row r="2" spans="1:12" ht="15" customHeight="1" x14ac:dyDescent="0.2">
      <c r="A2" s="153" t="s">
        <v>281</v>
      </c>
    </row>
    <row r="3" spans="1:12" ht="16" x14ac:dyDescent="0.2">
      <c r="A3" s="154" t="s">
        <v>128</v>
      </c>
      <c r="B3" s="154"/>
      <c r="C3" s="155">
        <v>21.08</v>
      </c>
      <c r="D3" s="39" t="s">
        <v>129</v>
      </c>
    </row>
    <row r="4" spans="1:12" ht="15" customHeight="1" x14ac:dyDescent="0.2"/>
    <row r="5" spans="1:12" ht="31.5" customHeight="1" x14ac:dyDescent="0.2">
      <c r="A5" s="67" t="s">
        <v>130</v>
      </c>
      <c r="B5" s="67" t="s">
        <v>131</v>
      </c>
      <c r="C5" s="67" t="s">
        <v>132</v>
      </c>
      <c r="D5" s="67" t="s">
        <v>282</v>
      </c>
      <c r="E5" s="67" t="s">
        <v>118</v>
      </c>
      <c r="F5" s="67" t="s">
        <v>29</v>
      </c>
      <c r="G5" s="71" t="s">
        <v>133</v>
      </c>
      <c r="H5" s="71" t="s">
        <v>134</v>
      </c>
      <c r="I5" s="71" t="s">
        <v>135</v>
      </c>
      <c r="J5" s="71" t="s">
        <v>283</v>
      </c>
      <c r="K5" s="67" t="s">
        <v>284</v>
      </c>
      <c r="L5" s="67" t="s">
        <v>122</v>
      </c>
    </row>
    <row r="6" spans="1:12" ht="22" customHeight="1" x14ac:dyDescent="0.2">
      <c r="A6" s="198" t="s">
        <v>285</v>
      </c>
      <c r="B6" s="170"/>
      <c r="C6" s="212"/>
      <c r="D6" s="226"/>
      <c r="E6" s="156"/>
      <c r="F6" s="170"/>
      <c r="G6" s="240"/>
      <c r="H6" s="254"/>
      <c r="I6" s="268"/>
      <c r="J6" s="240"/>
      <c r="K6" s="184"/>
      <c r="L6" s="284"/>
    </row>
    <row r="7" spans="1:12" x14ac:dyDescent="0.2">
      <c r="A7" s="298" t="s">
        <v>145</v>
      </c>
      <c r="B7" s="299" t="s">
        <v>286</v>
      </c>
      <c r="C7" s="300" t="s">
        <v>287</v>
      </c>
      <c r="D7" s="301" t="s">
        <v>288</v>
      </c>
      <c r="E7" s="302" t="s">
        <v>289</v>
      </c>
      <c r="F7" s="299" t="s">
        <v>146</v>
      </c>
      <c r="G7" s="303">
        <f>IF(H7="","",ROUND(H7/$C$3,2))</f>
        <v>7.84</v>
      </c>
      <c r="H7" s="304">
        <v>165.2</v>
      </c>
      <c r="I7" s="305"/>
      <c r="J7" s="306">
        <f>IF(H7="","",ROUND(H7*(1+IF(I7="",0,I7)),2))</f>
        <v>165.2</v>
      </c>
      <c r="K7" s="307">
        <v>1</v>
      </c>
      <c r="L7" s="308"/>
    </row>
    <row r="8" spans="1:12" x14ac:dyDescent="0.2">
      <c r="A8" s="199" t="s">
        <v>145</v>
      </c>
      <c r="B8" s="171" t="s">
        <v>286</v>
      </c>
      <c r="C8" s="213" t="s">
        <v>290</v>
      </c>
      <c r="D8" s="227" t="s">
        <v>291</v>
      </c>
      <c r="E8" s="157" t="s">
        <v>292</v>
      </c>
      <c r="F8" s="171" t="s">
        <v>146</v>
      </c>
      <c r="G8" s="241">
        <f>IF(H8="","",ROUND(H8/$C$3,2))</f>
        <v>7.84</v>
      </c>
      <c r="H8" s="255">
        <v>165.2</v>
      </c>
      <c r="I8" s="269"/>
      <c r="J8" s="282">
        <f>IF(H8="","",ROUND(H8*(1+IF(I8="",0,I8)),2))</f>
        <v>165.2</v>
      </c>
      <c r="K8" s="185">
        <v>1</v>
      </c>
      <c r="L8" s="285"/>
    </row>
    <row r="9" spans="1:12" x14ac:dyDescent="0.2">
      <c r="A9" s="298" t="s">
        <v>145</v>
      </c>
      <c r="B9" s="299" t="s">
        <v>286</v>
      </c>
      <c r="C9" s="300" t="s">
        <v>293</v>
      </c>
      <c r="D9" s="301" t="s">
        <v>294</v>
      </c>
      <c r="E9" s="302" t="s">
        <v>295</v>
      </c>
      <c r="F9" s="299" t="s">
        <v>146</v>
      </c>
      <c r="G9" s="303">
        <f>IF(H9="","",ROUND(H9/$C$3,2))</f>
        <v>7.84</v>
      </c>
      <c r="H9" s="304">
        <v>165.2</v>
      </c>
      <c r="I9" s="305"/>
      <c r="J9" s="306">
        <f>IF(H9="","",ROUND(H9*(1+IF(I9="",0,I9)),2))</f>
        <v>165.2</v>
      </c>
      <c r="K9" s="307">
        <v>1</v>
      </c>
      <c r="L9" s="308" t="s">
        <v>296</v>
      </c>
    </row>
    <row r="10" spans="1:12" x14ac:dyDescent="0.2">
      <c r="A10" s="199" t="s">
        <v>145</v>
      </c>
      <c r="B10" s="171" t="s">
        <v>190</v>
      </c>
      <c r="C10" s="213" t="s">
        <v>297</v>
      </c>
      <c r="D10" s="227" t="s">
        <v>298</v>
      </c>
      <c r="E10" s="157" t="s">
        <v>299</v>
      </c>
      <c r="F10" s="171" t="s">
        <v>300</v>
      </c>
      <c r="G10" s="241">
        <f>IF(H10="","",ROUND(H10/$C$3,2))</f>
        <v>8.85</v>
      </c>
      <c r="H10" s="255">
        <v>186.56</v>
      </c>
      <c r="I10" s="269"/>
      <c r="J10" s="282">
        <f>IF(H10="","",ROUND(H10*(1+IF(I10="",0,I10)),2))</f>
        <v>186.56</v>
      </c>
      <c r="K10" s="185">
        <v>1</v>
      </c>
      <c r="L10" s="285" t="s">
        <v>301</v>
      </c>
    </row>
    <row r="11" spans="1:12" x14ac:dyDescent="0.2">
      <c r="A11" s="298" t="s">
        <v>145</v>
      </c>
      <c r="B11" s="299" t="s">
        <v>190</v>
      </c>
      <c r="C11" s="300" t="s">
        <v>302</v>
      </c>
      <c r="D11" s="301" t="s">
        <v>303</v>
      </c>
      <c r="E11" s="302" t="s">
        <v>304</v>
      </c>
      <c r="F11" s="299" t="s">
        <v>300</v>
      </c>
      <c r="G11" s="303">
        <f>IF(H11="","",ROUND(H11/$C$3,2))</f>
        <v>4.47</v>
      </c>
      <c r="H11" s="304">
        <v>94.27</v>
      </c>
      <c r="I11" s="305"/>
      <c r="J11" s="306">
        <f>IF(H11="","",ROUND(H11*(1+IF(I11="",0,I11)),2))</f>
        <v>94.27</v>
      </c>
      <c r="K11" s="307">
        <v>1</v>
      </c>
      <c r="L11" s="308" t="s">
        <v>305</v>
      </c>
    </row>
    <row r="12" spans="1:12" x14ac:dyDescent="0.2">
      <c r="A12" s="199" t="s">
        <v>145</v>
      </c>
      <c r="B12" s="171" t="s">
        <v>306</v>
      </c>
      <c r="C12" s="213" t="s">
        <v>307</v>
      </c>
      <c r="D12" s="227" t="s">
        <v>308</v>
      </c>
      <c r="E12" s="157" t="s">
        <v>306</v>
      </c>
      <c r="F12" s="171" t="s">
        <v>300</v>
      </c>
      <c r="G12" s="241">
        <f>IF(H12="","",ROUND(H12/$C$3,2))</f>
        <v>4.87</v>
      </c>
      <c r="H12" s="255">
        <v>102.7</v>
      </c>
      <c r="I12" s="269"/>
      <c r="J12" s="282">
        <f>IF(H12="","",ROUND(H12*(1+IF(I12="",0,I12)),2))</f>
        <v>102.7</v>
      </c>
      <c r="K12" s="185">
        <v>1</v>
      </c>
      <c r="L12" s="285"/>
    </row>
    <row r="13" spans="1:12" x14ac:dyDescent="0.2">
      <c r="A13" s="298" t="s">
        <v>145</v>
      </c>
      <c r="B13" s="299" t="s">
        <v>147</v>
      </c>
      <c r="C13" s="300" t="s">
        <v>309</v>
      </c>
      <c r="D13" s="301" t="s">
        <v>310</v>
      </c>
      <c r="E13" s="302" t="s">
        <v>311</v>
      </c>
      <c r="F13" s="299" t="s">
        <v>300</v>
      </c>
      <c r="G13" s="303">
        <f>IF(H13="","",ROUND(H13/$C$3,2))</f>
        <v>4.83</v>
      </c>
      <c r="H13" s="304">
        <v>101.77</v>
      </c>
      <c r="I13" s="305"/>
      <c r="J13" s="306">
        <f>IF(H13="","",ROUND(H13*(1+IF(I13="",0,I13)),2))</f>
        <v>101.77</v>
      </c>
      <c r="K13" s="307">
        <v>1</v>
      </c>
      <c r="L13" s="308" t="s">
        <v>312</v>
      </c>
    </row>
    <row r="14" spans="1:12" x14ac:dyDescent="0.2">
      <c r="A14" s="199" t="s">
        <v>145</v>
      </c>
      <c r="B14" s="171" t="s">
        <v>147</v>
      </c>
      <c r="C14" s="213" t="s">
        <v>313</v>
      </c>
      <c r="D14" s="227" t="s">
        <v>314</v>
      </c>
      <c r="E14" s="157" t="s">
        <v>315</v>
      </c>
      <c r="F14" s="171" t="s">
        <v>300</v>
      </c>
      <c r="G14" s="241">
        <f>IF(H14="","",ROUND(H14/$C$3,2))</f>
        <v>4.83</v>
      </c>
      <c r="H14" s="255">
        <v>101.77</v>
      </c>
      <c r="I14" s="269"/>
      <c r="J14" s="282">
        <f>IF(H14="","",ROUND(H14*(1+IF(I14="",0,I14)),2))</f>
        <v>101.77</v>
      </c>
      <c r="K14" s="185">
        <v>1</v>
      </c>
      <c r="L14" s="285" t="s">
        <v>316</v>
      </c>
    </row>
    <row r="15" spans="1:12" x14ac:dyDescent="0.2">
      <c r="A15" s="298" t="s">
        <v>145</v>
      </c>
      <c r="B15" s="299" t="s">
        <v>147</v>
      </c>
      <c r="C15" s="300" t="s">
        <v>317</v>
      </c>
      <c r="D15" s="301" t="s">
        <v>318</v>
      </c>
      <c r="E15" s="302" t="s">
        <v>319</v>
      </c>
      <c r="F15" s="299" t="s">
        <v>300</v>
      </c>
      <c r="G15" s="303">
        <f>IF(H15="","",ROUND(H15/$C$3,2))</f>
        <v>8.1300000000000008</v>
      </c>
      <c r="H15" s="304">
        <v>171.47</v>
      </c>
      <c r="I15" s="305"/>
      <c r="J15" s="306">
        <f>IF(H15="","",ROUND(H15*(1+IF(I15="",0,I15)),2))</f>
        <v>171.47</v>
      </c>
      <c r="K15" s="307">
        <v>1</v>
      </c>
      <c r="L15" s="308" t="s">
        <v>320</v>
      </c>
    </row>
    <row r="16" spans="1:12" x14ac:dyDescent="0.2">
      <c r="A16" s="199" t="s">
        <v>145</v>
      </c>
      <c r="B16" s="171" t="s">
        <v>147</v>
      </c>
      <c r="C16" s="213" t="s">
        <v>321</v>
      </c>
      <c r="D16" s="227" t="s">
        <v>322</v>
      </c>
      <c r="E16" s="157" t="s">
        <v>323</v>
      </c>
      <c r="F16" s="171" t="s">
        <v>300</v>
      </c>
      <c r="G16" s="241">
        <f>IF(H16="","",ROUND(H16/$C$3,2))</f>
        <v>4.58</v>
      </c>
      <c r="H16" s="255">
        <v>96.6</v>
      </c>
      <c r="I16" s="269"/>
      <c r="J16" s="282">
        <f>IF(H16="","",ROUND(H16*(1+IF(I16="",0,I16)),2))</f>
        <v>96.6</v>
      </c>
      <c r="K16" s="185">
        <v>1</v>
      </c>
      <c r="L16" s="285" t="s">
        <v>324</v>
      </c>
    </row>
    <row r="17" spans="1:12" x14ac:dyDescent="0.2">
      <c r="A17" s="298" t="s">
        <v>145</v>
      </c>
      <c r="B17" s="299" t="s">
        <v>147</v>
      </c>
      <c r="C17" s="300" t="s">
        <v>325</v>
      </c>
      <c r="D17" s="301" t="s">
        <v>326</v>
      </c>
      <c r="E17" s="302" t="s">
        <v>327</v>
      </c>
      <c r="F17" s="299" t="s">
        <v>300</v>
      </c>
      <c r="G17" s="303">
        <f>IF(H17="","",ROUND(H17/$C$3,2))</f>
        <v>3.49</v>
      </c>
      <c r="H17" s="304">
        <v>73.489999999999995</v>
      </c>
      <c r="I17" s="305"/>
      <c r="J17" s="306">
        <f>IF(H17="","",ROUND(H17*(1+IF(I17="",0,I17)),2))</f>
        <v>73.489999999999995</v>
      </c>
      <c r="K17" s="307">
        <v>1</v>
      </c>
      <c r="L17" s="308" t="s">
        <v>328</v>
      </c>
    </row>
    <row r="18" spans="1:12" x14ac:dyDescent="0.2">
      <c r="A18" s="199" t="s">
        <v>145</v>
      </c>
      <c r="B18" s="171" t="s">
        <v>329</v>
      </c>
      <c r="C18" s="213" t="s">
        <v>330</v>
      </c>
      <c r="D18" s="227" t="s">
        <v>331</v>
      </c>
      <c r="E18" s="157" t="s">
        <v>332</v>
      </c>
      <c r="F18" s="171" t="s">
        <v>300</v>
      </c>
      <c r="G18" s="241">
        <f>IF(H18="","",ROUND(H18/$C$3,2))</f>
        <v>6.15</v>
      </c>
      <c r="H18" s="255">
        <v>129.71</v>
      </c>
      <c r="I18" s="269"/>
      <c r="J18" s="282">
        <f>IF(H18="","",ROUND(H18*(1+IF(I18="",0,I18)),2))</f>
        <v>129.71</v>
      </c>
      <c r="K18" s="185">
        <v>1</v>
      </c>
      <c r="L18" s="285" t="s">
        <v>333</v>
      </c>
    </row>
    <row r="19" spans="1:12" x14ac:dyDescent="0.2">
      <c r="A19" s="298" t="s">
        <v>145</v>
      </c>
      <c r="B19" s="299" t="s">
        <v>334</v>
      </c>
      <c r="C19" s="300" t="s">
        <v>335</v>
      </c>
      <c r="D19" s="301" t="s">
        <v>336</v>
      </c>
      <c r="E19" s="302" t="s">
        <v>337</v>
      </c>
      <c r="F19" s="299" t="s">
        <v>300</v>
      </c>
      <c r="G19" s="303">
        <f>IF(H19="","",ROUND(H19/$C$3,2))</f>
        <v>47.74</v>
      </c>
      <c r="H19" s="304">
        <v>1006.28</v>
      </c>
      <c r="I19" s="305"/>
      <c r="J19" s="306">
        <f>IF(H19="","",ROUND(H19*(1+IF(I19="",0,I19)),2))</f>
        <v>1006.28</v>
      </c>
      <c r="K19" s="307">
        <v>1</v>
      </c>
      <c r="L19" s="308"/>
    </row>
    <row r="20" spans="1:12" x14ac:dyDescent="0.2">
      <c r="A20" s="199" t="s">
        <v>145</v>
      </c>
      <c r="B20" s="171" t="s">
        <v>334</v>
      </c>
      <c r="C20" s="213" t="s">
        <v>338</v>
      </c>
      <c r="D20" s="227" t="s">
        <v>339</v>
      </c>
      <c r="E20" s="157" t="s">
        <v>340</v>
      </c>
      <c r="F20" s="171" t="s">
        <v>300</v>
      </c>
      <c r="G20" s="241">
        <f>IF(H20="","",ROUND(H20/$C$3,2))</f>
        <v>1.56</v>
      </c>
      <c r="H20" s="255">
        <v>32.94</v>
      </c>
      <c r="I20" s="269"/>
      <c r="J20" s="282">
        <f>IF(H20="","",ROUND(H20*(1+IF(I20="",0,I20)),2))</f>
        <v>32.94</v>
      </c>
      <c r="K20" s="185">
        <v>1</v>
      </c>
      <c r="L20" s="285" t="s">
        <v>341</v>
      </c>
    </row>
    <row r="21" spans="1:12" x14ac:dyDescent="0.2">
      <c r="A21" s="298" t="s">
        <v>145</v>
      </c>
      <c r="B21" s="299" t="s">
        <v>334</v>
      </c>
      <c r="C21" s="300" t="s">
        <v>342</v>
      </c>
      <c r="D21" s="301" t="s">
        <v>343</v>
      </c>
      <c r="E21" s="302" t="s">
        <v>344</v>
      </c>
      <c r="F21" s="299" t="s">
        <v>300</v>
      </c>
      <c r="G21" s="303">
        <f>IF(H21="","",ROUND(H21/$C$3,2))</f>
        <v>2.67</v>
      </c>
      <c r="H21" s="304">
        <v>56.34</v>
      </c>
      <c r="I21" s="305"/>
      <c r="J21" s="306">
        <f>IF(H21="","",ROUND(H21*(1+IF(I21="",0,I21)),2))</f>
        <v>56.34</v>
      </c>
      <c r="K21" s="307">
        <v>1</v>
      </c>
      <c r="L21" s="308" t="s">
        <v>345</v>
      </c>
    </row>
    <row r="22" spans="1:12" x14ac:dyDescent="0.2">
      <c r="A22" s="199" t="s">
        <v>145</v>
      </c>
      <c r="B22" s="171" t="s">
        <v>334</v>
      </c>
      <c r="C22" s="213" t="s">
        <v>346</v>
      </c>
      <c r="D22" s="227" t="s">
        <v>347</v>
      </c>
      <c r="E22" s="157" t="s">
        <v>348</v>
      </c>
      <c r="F22" s="171" t="s">
        <v>300</v>
      </c>
      <c r="G22" s="241">
        <f>IF(H22="","",ROUND(H22/$C$3,2))</f>
        <v>1.7</v>
      </c>
      <c r="H22" s="255">
        <v>35.79</v>
      </c>
      <c r="I22" s="269"/>
      <c r="J22" s="282">
        <f>IF(H22="","",ROUND(H22*(1+IF(I22="",0,I22)),2))</f>
        <v>35.79</v>
      </c>
      <c r="K22" s="185">
        <v>1</v>
      </c>
      <c r="L22" s="285" t="s">
        <v>349</v>
      </c>
    </row>
    <row r="23" spans="1:12" x14ac:dyDescent="0.2">
      <c r="A23" s="298" t="s">
        <v>145</v>
      </c>
      <c r="B23" s="299" t="s">
        <v>334</v>
      </c>
      <c r="C23" s="300" t="s">
        <v>350</v>
      </c>
      <c r="D23" s="301" t="s">
        <v>351</v>
      </c>
      <c r="E23" s="302" t="s">
        <v>352</v>
      </c>
      <c r="F23" s="299" t="s">
        <v>300</v>
      </c>
      <c r="G23" s="303">
        <f>IF(H23="","",ROUND(H23/$C$3,2))</f>
        <v>1.7</v>
      </c>
      <c r="H23" s="304">
        <v>35.799999999999997</v>
      </c>
      <c r="I23" s="305"/>
      <c r="J23" s="306">
        <f>IF(H23="","",ROUND(H23*(1+IF(I23="",0,I23)),2))</f>
        <v>35.799999999999997</v>
      </c>
      <c r="K23" s="307">
        <v>1</v>
      </c>
      <c r="L23" s="308" t="s">
        <v>353</v>
      </c>
    </row>
    <row r="24" spans="1:12" x14ac:dyDescent="0.2">
      <c r="A24" s="199" t="s">
        <v>145</v>
      </c>
      <c r="B24" s="171" t="s">
        <v>354</v>
      </c>
      <c r="C24" s="213" t="s">
        <v>355</v>
      </c>
      <c r="D24" s="227" t="s">
        <v>356</v>
      </c>
      <c r="E24" s="157" t="s">
        <v>357</v>
      </c>
      <c r="F24" s="171" t="s">
        <v>146</v>
      </c>
      <c r="G24" s="241">
        <f>IF(H24="","",ROUND(H24/$C$3,2))</f>
        <v>2.41</v>
      </c>
      <c r="H24" s="255">
        <v>50.9</v>
      </c>
      <c r="I24" s="269"/>
      <c r="J24" s="282">
        <f>IF(H24="","",ROUND(H24*(1+IF(I24="",0,I24)),2))</f>
        <v>50.9</v>
      </c>
      <c r="K24" s="185">
        <v>1</v>
      </c>
      <c r="L24" s="285"/>
    </row>
    <row r="25" spans="1:12" x14ac:dyDescent="0.2">
      <c r="A25" s="298" t="s">
        <v>145</v>
      </c>
      <c r="B25" s="299" t="s">
        <v>354</v>
      </c>
      <c r="C25" s="300" t="s">
        <v>358</v>
      </c>
      <c r="D25" s="301" t="s">
        <v>359</v>
      </c>
      <c r="E25" s="302" t="s">
        <v>360</v>
      </c>
      <c r="F25" s="299" t="s">
        <v>146</v>
      </c>
      <c r="G25" s="303">
        <f>IF(H25="","",ROUND(H25/$C$3,2))</f>
        <v>1.68</v>
      </c>
      <c r="H25" s="304">
        <v>35.4</v>
      </c>
      <c r="I25" s="305"/>
      <c r="J25" s="306">
        <f>IF(H25="","",ROUND(H25*(1+IF(I25="",0,I25)),2))</f>
        <v>35.4</v>
      </c>
      <c r="K25" s="307">
        <v>1</v>
      </c>
      <c r="L25" s="308"/>
    </row>
    <row r="26" spans="1:12" x14ac:dyDescent="0.2">
      <c r="A26" s="199"/>
      <c r="B26" s="171"/>
      <c r="C26" s="213"/>
      <c r="D26" s="227"/>
      <c r="E26" s="157"/>
      <c r="F26" s="171"/>
      <c r="G26" s="241"/>
      <c r="H26" s="255"/>
      <c r="I26" s="269"/>
      <c r="J26" s="282"/>
      <c r="K26" s="185"/>
      <c r="L26" s="285"/>
    </row>
    <row r="27" spans="1:12" ht="22" customHeight="1" x14ac:dyDescent="0.2">
      <c r="A27" s="200" t="s">
        <v>361</v>
      </c>
      <c r="B27" s="172"/>
      <c r="C27" s="214"/>
      <c r="D27" s="228"/>
      <c r="E27" s="158"/>
      <c r="F27" s="172"/>
      <c r="G27" s="242"/>
      <c r="H27" s="256"/>
      <c r="I27" s="270"/>
      <c r="J27" s="242"/>
      <c r="K27" s="186"/>
      <c r="L27" s="286"/>
    </row>
    <row r="28" spans="1:12" x14ac:dyDescent="0.2">
      <c r="A28" s="298" t="s">
        <v>139</v>
      </c>
      <c r="B28" s="299" t="s">
        <v>187</v>
      </c>
      <c r="C28" s="300" t="s">
        <v>362</v>
      </c>
      <c r="D28" s="301" t="s">
        <v>363</v>
      </c>
      <c r="E28" s="302" t="s">
        <v>364</v>
      </c>
      <c r="F28" s="299" t="s">
        <v>137</v>
      </c>
      <c r="G28" s="303">
        <f>IF(H28="","",ROUND(H28/$C$3,2))</f>
        <v>2.1800000000000002</v>
      </c>
      <c r="H28" s="304">
        <v>46</v>
      </c>
      <c r="I28" s="305"/>
      <c r="J28" s="306">
        <f>IF(H28="","",ROUND(H28*(1+IF(I28="",0,I28)),2))</f>
        <v>46</v>
      </c>
      <c r="K28" s="307">
        <v>1</v>
      </c>
      <c r="L28" s="308"/>
    </row>
    <row r="29" spans="1:12" x14ac:dyDescent="0.2">
      <c r="A29" s="199" t="s">
        <v>139</v>
      </c>
      <c r="B29" s="171" t="s">
        <v>187</v>
      </c>
      <c r="C29" s="213" t="s">
        <v>365</v>
      </c>
      <c r="D29" s="227" t="s">
        <v>366</v>
      </c>
      <c r="E29" s="157" t="s">
        <v>367</v>
      </c>
      <c r="F29" s="171" t="s">
        <v>137</v>
      </c>
      <c r="G29" s="241">
        <f>IF(H29="","",ROUND(H29/$C$3,2))</f>
        <v>3.44</v>
      </c>
      <c r="H29" s="255">
        <v>72.41</v>
      </c>
      <c r="I29" s="269"/>
      <c r="J29" s="282">
        <f>IF(H29="","",ROUND(H29*(1+IF(I29="",0,I29)),2))</f>
        <v>72.41</v>
      </c>
      <c r="K29" s="185">
        <v>1</v>
      </c>
      <c r="L29" s="285"/>
    </row>
    <row r="30" spans="1:12" x14ac:dyDescent="0.2">
      <c r="A30" s="298" t="s">
        <v>139</v>
      </c>
      <c r="B30" s="299" t="s">
        <v>187</v>
      </c>
      <c r="C30" s="300" t="s">
        <v>368</v>
      </c>
      <c r="D30" s="301" t="s">
        <v>369</v>
      </c>
      <c r="E30" s="302" t="s">
        <v>370</v>
      </c>
      <c r="F30" s="299" t="s">
        <v>137</v>
      </c>
      <c r="G30" s="303">
        <f>IF(H30="","",ROUND(H30/$C$3,2))</f>
        <v>4.3600000000000003</v>
      </c>
      <c r="H30" s="304">
        <v>92</v>
      </c>
      <c r="I30" s="305"/>
      <c r="J30" s="306">
        <f>IF(H30="","",ROUND(H30*(1+IF(I30="",0,I30)),2))</f>
        <v>92</v>
      </c>
      <c r="K30" s="307">
        <v>1</v>
      </c>
      <c r="L30" s="308"/>
    </row>
    <row r="31" spans="1:12" x14ac:dyDescent="0.2">
      <c r="A31" s="199" t="s">
        <v>139</v>
      </c>
      <c r="B31" s="171" t="s">
        <v>187</v>
      </c>
      <c r="C31" s="213" t="s">
        <v>371</v>
      </c>
      <c r="D31" s="227" t="s">
        <v>372</v>
      </c>
      <c r="E31" s="157" t="s">
        <v>373</v>
      </c>
      <c r="F31" s="171" t="s">
        <v>137</v>
      </c>
      <c r="G31" s="241">
        <f>IF(H31="","",ROUND(H31/$C$3,2))</f>
        <v>2</v>
      </c>
      <c r="H31" s="255">
        <v>42.241300000000003</v>
      </c>
      <c r="I31" s="269"/>
      <c r="J31" s="282">
        <f>IF(H31="","",ROUND(H31*(1+IF(I31="",0,I31)),2))</f>
        <v>42.24</v>
      </c>
      <c r="K31" s="185">
        <v>1</v>
      </c>
      <c r="L31" s="285"/>
    </row>
    <row r="32" spans="1:12" x14ac:dyDescent="0.2">
      <c r="A32" s="298" t="s">
        <v>139</v>
      </c>
      <c r="B32" s="299" t="s">
        <v>187</v>
      </c>
      <c r="C32" s="300" t="s">
        <v>374</v>
      </c>
      <c r="D32" s="301" t="s">
        <v>375</v>
      </c>
      <c r="E32" s="302" t="s">
        <v>376</v>
      </c>
      <c r="F32" s="299" t="s">
        <v>137</v>
      </c>
      <c r="G32" s="303">
        <f>IF(H32="","",ROUND(H32/$C$3,2))</f>
        <v>3.6</v>
      </c>
      <c r="H32" s="304">
        <v>75.862099999999998</v>
      </c>
      <c r="I32" s="305"/>
      <c r="J32" s="306">
        <f>IF(H32="","",ROUND(H32*(1+IF(I32="",0,I32)),2))</f>
        <v>75.86</v>
      </c>
      <c r="K32" s="307">
        <v>1</v>
      </c>
      <c r="L32" s="308"/>
    </row>
    <row r="33" spans="1:12" x14ac:dyDescent="0.2">
      <c r="A33" s="199" t="s">
        <v>139</v>
      </c>
      <c r="B33" s="171" t="s">
        <v>377</v>
      </c>
      <c r="C33" s="213" t="s">
        <v>378</v>
      </c>
      <c r="D33" s="227" t="s">
        <v>379</v>
      </c>
      <c r="E33" s="157" t="s">
        <v>380</v>
      </c>
      <c r="F33" s="171" t="s">
        <v>381</v>
      </c>
      <c r="G33" s="241">
        <f>IF(H33="","",ROUND(H33/$C$3,2))</f>
        <v>0.95</v>
      </c>
      <c r="H33" s="255">
        <v>20</v>
      </c>
      <c r="I33" s="269"/>
      <c r="J33" s="282">
        <f>IF(H33="","",ROUND(H33*(1+IF(I33="",0,I33)),2))</f>
        <v>20</v>
      </c>
      <c r="K33" s="185">
        <v>2</v>
      </c>
      <c r="L33" s="285"/>
    </row>
    <row r="34" spans="1:12" x14ac:dyDescent="0.2">
      <c r="A34" s="298" t="s">
        <v>139</v>
      </c>
      <c r="B34" s="299" t="s">
        <v>139</v>
      </c>
      <c r="C34" s="300" t="s">
        <v>382</v>
      </c>
      <c r="D34" s="301" t="s">
        <v>383</v>
      </c>
      <c r="E34" s="302" t="s">
        <v>384</v>
      </c>
      <c r="F34" s="299" t="s">
        <v>381</v>
      </c>
      <c r="G34" s="303">
        <f>IF(H34="","",ROUND(H34/$C$3,2))</f>
        <v>1.1000000000000001</v>
      </c>
      <c r="H34" s="304">
        <v>23.187999999999999</v>
      </c>
      <c r="I34" s="305"/>
      <c r="J34" s="306">
        <f>IF(H34="","",ROUND(H34*(1+IF(I34="",0,I34)),2))</f>
        <v>23.19</v>
      </c>
      <c r="K34" s="307">
        <v>1</v>
      </c>
      <c r="L34" s="308"/>
    </row>
    <row r="35" spans="1:12" x14ac:dyDescent="0.2">
      <c r="A35" s="199" t="s">
        <v>139</v>
      </c>
      <c r="B35" s="171" t="s">
        <v>139</v>
      </c>
      <c r="C35" s="213" t="s">
        <v>385</v>
      </c>
      <c r="D35" s="227" t="s">
        <v>386</v>
      </c>
      <c r="E35" s="157" t="s">
        <v>387</v>
      </c>
      <c r="F35" s="171" t="s">
        <v>381</v>
      </c>
      <c r="G35" s="241">
        <f>IF(H35="","",ROUND(H35/$C$3,2))</f>
        <v>1.59</v>
      </c>
      <c r="H35" s="255">
        <v>33.517200000000003</v>
      </c>
      <c r="I35" s="269"/>
      <c r="J35" s="282">
        <f>IF(H35="","",ROUND(H35*(1+IF(I35="",0,I35)),2))</f>
        <v>33.520000000000003</v>
      </c>
      <c r="K35" s="185">
        <v>1</v>
      </c>
      <c r="L35" s="285"/>
    </row>
    <row r="36" spans="1:12" x14ac:dyDescent="0.2">
      <c r="A36" s="298" t="s">
        <v>139</v>
      </c>
      <c r="B36" s="299" t="s">
        <v>139</v>
      </c>
      <c r="C36" s="300" t="s">
        <v>388</v>
      </c>
      <c r="D36" s="301" t="s">
        <v>389</v>
      </c>
      <c r="E36" s="302" t="s">
        <v>390</v>
      </c>
      <c r="F36" s="299" t="s">
        <v>381</v>
      </c>
      <c r="G36" s="303">
        <f>IF(H36="","",ROUND(H36/$C$3,2))</f>
        <v>1.43</v>
      </c>
      <c r="H36" s="304">
        <v>30.144400000000001</v>
      </c>
      <c r="I36" s="305"/>
      <c r="J36" s="306">
        <f>IF(H36="","",ROUND(H36*(1+IF(I36="",0,I36)),2))</f>
        <v>30.14</v>
      </c>
      <c r="K36" s="307">
        <v>2</v>
      </c>
      <c r="L36" s="308"/>
    </row>
    <row r="37" spans="1:12" x14ac:dyDescent="0.2">
      <c r="A37" s="199" t="s">
        <v>139</v>
      </c>
      <c r="B37" s="171" t="s">
        <v>139</v>
      </c>
      <c r="C37" s="213" t="s">
        <v>391</v>
      </c>
      <c r="D37" s="227" t="s">
        <v>392</v>
      </c>
      <c r="E37" s="157" t="s">
        <v>393</v>
      </c>
      <c r="F37" s="171" t="s">
        <v>381</v>
      </c>
      <c r="G37" s="241">
        <f>IF(H37="","",ROUND(H37/$C$3,2))</f>
        <v>2.09</v>
      </c>
      <c r="H37" s="255">
        <v>44</v>
      </c>
      <c r="I37" s="269"/>
      <c r="J37" s="282">
        <f>IF(H37="","",ROUND(H37*(1+IF(I37="",0,I37)),2))</f>
        <v>44</v>
      </c>
      <c r="K37" s="185">
        <v>1</v>
      </c>
      <c r="L37" s="285"/>
    </row>
    <row r="38" spans="1:12" x14ac:dyDescent="0.2">
      <c r="A38" s="298" t="s">
        <v>139</v>
      </c>
      <c r="B38" s="299" t="s">
        <v>139</v>
      </c>
      <c r="C38" s="300" t="s">
        <v>394</v>
      </c>
      <c r="D38" s="301" t="s">
        <v>395</v>
      </c>
      <c r="E38" s="302" t="s">
        <v>396</v>
      </c>
      <c r="F38" s="299" t="s">
        <v>381</v>
      </c>
      <c r="G38" s="303">
        <f>IF(H38="","",ROUND(H38/$C$3,2))</f>
        <v>4.22</v>
      </c>
      <c r="H38" s="304">
        <v>89</v>
      </c>
      <c r="I38" s="305"/>
      <c r="J38" s="306">
        <f>IF(H38="","",ROUND(H38*(1+IF(I38="",0,I38)),2))</f>
        <v>89</v>
      </c>
      <c r="K38" s="307">
        <v>1</v>
      </c>
      <c r="L38" s="308"/>
    </row>
    <row r="39" spans="1:12" x14ac:dyDescent="0.2">
      <c r="A39" s="199" t="s">
        <v>139</v>
      </c>
      <c r="B39" s="171" t="s">
        <v>139</v>
      </c>
      <c r="C39" s="213" t="s">
        <v>397</v>
      </c>
      <c r="D39" s="227" t="s">
        <v>398</v>
      </c>
      <c r="E39" s="157" t="s">
        <v>399</v>
      </c>
      <c r="F39" s="171" t="s">
        <v>381</v>
      </c>
      <c r="G39" s="241">
        <f>IF(H39="","",ROUND(H39/$C$3,2))</f>
        <v>2.61</v>
      </c>
      <c r="H39" s="255">
        <v>55</v>
      </c>
      <c r="I39" s="269"/>
      <c r="J39" s="282">
        <f>IF(H39="","",ROUND(H39*(1+IF(I39="",0,I39)),2))</f>
        <v>55</v>
      </c>
      <c r="K39" s="185">
        <v>2</v>
      </c>
      <c r="L39" s="285"/>
    </row>
    <row r="40" spans="1:12" x14ac:dyDescent="0.2">
      <c r="A40" s="298" t="s">
        <v>139</v>
      </c>
      <c r="B40" s="299" t="s">
        <v>139</v>
      </c>
      <c r="C40" s="300" t="s">
        <v>400</v>
      </c>
      <c r="D40" s="301" t="s">
        <v>401</v>
      </c>
      <c r="E40" s="302" t="s">
        <v>402</v>
      </c>
      <c r="F40" s="299" t="s">
        <v>381</v>
      </c>
      <c r="G40" s="303">
        <f>IF(H40="","",ROUND(H40/$C$3,2))</f>
        <v>3.69</v>
      </c>
      <c r="H40" s="304">
        <v>77.760000000000005</v>
      </c>
      <c r="I40" s="305"/>
      <c r="J40" s="306">
        <f>IF(H40="","",ROUND(H40*(1+IF(I40="",0,I40)),2))</f>
        <v>77.760000000000005</v>
      </c>
      <c r="K40" s="307">
        <v>2</v>
      </c>
      <c r="L40" s="308"/>
    </row>
    <row r="41" spans="1:12" x14ac:dyDescent="0.2">
      <c r="A41" s="199" t="s">
        <v>139</v>
      </c>
      <c r="B41" s="171" t="s">
        <v>139</v>
      </c>
      <c r="C41" s="213" t="s">
        <v>403</v>
      </c>
      <c r="D41" s="227" t="s">
        <v>404</v>
      </c>
      <c r="E41" s="157" t="s">
        <v>405</v>
      </c>
      <c r="F41" s="171" t="s">
        <v>381</v>
      </c>
      <c r="G41" s="241">
        <f>IF(H41="","",ROUND(H41/$C$3,2))</f>
        <v>2.13</v>
      </c>
      <c r="H41" s="255">
        <v>45</v>
      </c>
      <c r="I41" s="269"/>
      <c r="J41" s="282">
        <f>IF(H41="","",ROUND(H41*(1+IF(I41="",0,I41)),2))</f>
        <v>45</v>
      </c>
      <c r="K41" s="185">
        <v>2</v>
      </c>
      <c r="L41" s="285"/>
    </row>
    <row r="42" spans="1:12" x14ac:dyDescent="0.2">
      <c r="A42" s="298" t="s">
        <v>139</v>
      </c>
      <c r="B42" s="299" t="s">
        <v>139</v>
      </c>
      <c r="C42" s="300" t="s">
        <v>406</v>
      </c>
      <c r="D42" s="301" t="s">
        <v>407</v>
      </c>
      <c r="E42" s="302" t="s">
        <v>408</v>
      </c>
      <c r="F42" s="299" t="s">
        <v>381</v>
      </c>
      <c r="G42" s="303">
        <f>IF(H42="","",ROUND(H42/$C$3,2))</f>
        <v>5.55</v>
      </c>
      <c r="H42" s="304">
        <v>117</v>
      </c>
      <c r="I42" s="305"/>
      <c r="J42" s="306">
        <f>IF(H42="","",ROUND(H42*(1+IF(I42="",0,I42)),2))</f>
        <v>117</v>
      </c>
      <c r="K42" s="307">
        <v>2</v>
      </c>
      <c r="L42" s="308"/>
    </row>
    <row r="43" spans="1:12" x14ac:dyDescent="0.2">
      <c r="A43" s="199" t="s">
        <v>139</v>
      </c>
      <c r="B43" s="171" t="s">
        <v>139</v>
      </c>
      <c r="C43" s="213" t="s">
        <v>409</v>
      </c>
      <c r="D43" s="227" t="s">
        <v>410</v>
      </c>
      <c r="E43" s="157" t="s">
        <v>411</v>
      </c>
      <c r="F43" s="171" t="s">
        <v>381</v>
      </c>
      <c r="G43" s="241">
        <f>IF(H43="","",ROUND(H43/$C$3,2))</f>
        <v>4.9800000000000004</v>
      </c>
      <c r="H43" s="255">
        <v>105</v>
      </c>
      <c r="I43" s="269"/>
      <c r="J43" s="282">
        <f>IF(H43="","",ROUND(H43*(1+IF(I43="",0,I43)),2))</f>
        <v>105</v>
      </c>
      <c r="K43" s="185">
        <v>2</v>
      </c>
      <c r="L43" s="285"/>
    </row>
    <row r="44" spans="1:12" x14ac:dyDescent="0.2">
      <c r="A44" s="298" t="s">
        <v>139</v>
      </c>
      <c r="B44" s="299" t="s">
        <v>139</v>
      </c>
      <c r="C44" s="300" t="s">
        <v>412</v>
      </c>
      <c r="D44" s="301" t="s">
        <v>413</v>
      </c>
      <c r="E44" s="302" t="s">
        <v>414</v>
      </c>
      <c r="F44" s="299" t="s">
        <v>381</v>
      </c>
      <c r="G44" s="303">
        <f>IF(H44="","",ROUND(H44/$C$3,2))</f>
        <v>2.8</v>
      </c>
      <c r="H44" s="304">
        <v>59</v>
      </c>
      <c r="I44" s="305"/>
      <c r="J44" s="306">
        <f>IF(H44="","",ROUND(H44*(1+IF(I44="",0,I44)),2))</f>
        <v>59</v>
      </c>
      <c r="K44" s="307">
        <v>1</v>
      </c>
      <c r="L44" s="308"/>
    </row>
    <row r="45" spans="1:12" x14ac:dyDescent="0.2">
      <c r="A45" s="199" t="s">
        <v>139</v>
      </c>
      <c r="B45" s="171" t="s">
        <v>139</v>
      </c>
      <c r="C45" s="213" t="s">
        <v>415</v>
      </c>
      <c r="D45" s="227" t="s">
        <v>416</v>
      </c>
      <c r="E45" s="157" t="s">
        <v>417</v>
      </c>
      <c r="F45" s="171" t="s">
        <v>381</v>
      </c>
      <c r="G45" s="241">
        <f>IF(H45="","",ROUND(H45/$C$3,2))</f>
        <v>1.66</v>
      </c>
      <c r="H45" s="255">
        <v>35</v>
      </c>
      <c r="I45" s="269"/>
      <c r="J45" s="282">
        <f>IF(H45="","",ROUND(H45*(1+IF(I45="",0,I45)),2))</f>
        <v>35</v>
      </c>
      <c r="K45" s="185">
        <v>2</v>
      </c>
      <c r="L45" s="285"/>
    </row>
    <row r="46" spans="1:12" x14ac:dyDescent="0.2">
      <c r="A46" s="298" t="s">
        <v>139</v>
      </c>
      <c r="B46" s="299" t="s">
        <v>139</v>
      </c>
      <c r="C46" s="300" t="s">
        <v>418</v>
      </c>
      <c r="D46" s="301" t="s">
        <v>419</v>
      </c>
      <c r="E46" s="302" t="s">
        <v>420</v>
      </c>
      <c r="F46" s="299" t="s">
        <v>381</v>
      </c>
      <c r="G46" s="303">
        <f>IF(H46="","",ROUND(H46/$C$3,2))</f>
        <v>2.8</v>
      </c>
      <c r="H46" s="304">
        <v>59</v>
      </c>
      <c r="I46" s="305"/>
      <c r="J46" s="306">
        <f>IF(H46="","",ROUND(H46*(1+IF(I46="",0,I46)),2))</f>
        <v>59</v>
      </c>
      <c r="K46" s="307">
        <v>2</v>
      </c>
      <c r="L46" s="308"/>
    </row>
    <row r="47" spans="1:12" x14ac:dyDescent="0.2">
      <c r="A47" s="199" t="s">
        <v>139</v>
      </c>
      <c r="B47" s="171" t="s">
        <v>139</v>
      </c>
      <c r="C47" s="213" t="s">
        <v>421</v>
      </c>
      <c r="D47" s="227" t="s">
        <v>422</v>
      </c>
      <c r="E47" s="157" t="s">
        <v>423</v>
      </c>
      <c r="F47" s="171" t="s">
        <v>381</v>
      </c>
      <c r="G47" s="241">
        <f>IF(H47="","",ROUND(H47/$C$3,2))</f>
        <v>1.45</v>
      </c>
      <c r="H47" s="255">
        <v>30.565999999999999</v>
      </c>
      <c r="I47" s="269"/>
      <c r="J47" s="282">
        <f>IF(H47="","",ROUND(H47*(1+IF(I47="",0,I47)),2))</f>
        <v>30.57</v>
      </c>
      <c r="K47" s="185">
        <v>2</v>
      </c>
      <c r="L47" s="285"/>
    </row>
    <row r="48" spans="1:12" x14ac:dyDescent="0.2">
      <c r="A48" s="298" t="s">
        <v>139</v>
      </c>
      <c r="B48" s="299" t="s">
        <v>136</v>
      </c>
      <c r="C48" s="300" t="s">
        <v>424</v>
      </c>
      <c r="D48" s="301" t="s">
        <v>425</v>
      </c>
      <c r="E48" s="302" t="s">
        <v>426</v>
      </c>
      <c r="F48" s="299" t="s">
        <v>37</v>
      </c>
      <c r="G48" s="303">
        <f>IF(H48="","",ROUND(H48/$C$3,2))</f>
        <v>16.079999999999998</v>
      </c>
      <c r="H48" s="304">
        <v>339</v>
      </c>
      <c r="I48" s="305"/>
      <c r="J48" s="306">
        <f>IF(H48="","",ROUND(H48*(1+IF(I48="",0,I48)),2))</f>
        <v>339</v>
      </c>
      <c r="K48" s="307">
        <v>1</v>
      </c>
      <c r="L48" s="308"/>
    </row>
    <row r="49" spans="1:12" x14ac:dyDescent="0.2">
      <c r="A49" s="199" t="s">
        <v>139</v>
      </c>
      <c r="B49" s="171" t="s">
        <v>136</v>
      </c>
      <c r="C49" s="213" t="s">
        <v>427</v>
      </c>
      <c r="D49" s="227" t="s">
        <v>428</v>
      </c>
      <c r="E49" s="157" t="s">
        <v>429</v>
      </c>
      <c r="F49" s="171" t="s">
        <v>37</v>
      </c>
      <c r="G49" s="241">
        <f>IF(H49="","",ROUND(H49/$C$3,2))</f>
        <v>21.77</v>
      </c>
      <c r="H49" s="255">
        <v>459</v>
      </c>
      <c r="I49" s="269"/>
      <c r="J49" s="282">
        <f>IF(H49="","",ROUND(H49*(1+IF(I49="",0,I49)),2))</f>
        <v>459</v>
      </c>
      <c r="K49" s="185">
        <v>1</v>
      </c>
      <c r="L49" s="285"/>
    </row>
    <row r="50" spans="1:12" x14ac:dyDescent="0.2">
      <c r="A50" s="298" t="s">
        <v>139</v>
      </c>
      <c r="B50" s="299" t="s">
        <v>136</v>
      </c>
      <c r="C50" s="300" t="s">
        <v>430</v>
      </c>
      <c r="D50" s="301" t="s">
        <v>431</v>
      </c>
      <c r="E50" s="302" t="s">
        <v>432</v>
      </c>
      <c r="F50" s="299" t="s">
        <v>37</v>
      </c>
      <c r="G50" s="303">
        <f>IF(H50="","",ROUND(H50/$C$3,2))</f>
        <v>9.35</v>
      </c>
      <c r="H50" s="304">
        <v>197</v>
      </c>
      <c r="I50" s="305"/>
      <c r="J50" s="306">
        <f>IF(H50="","",ROUND(H50*(1+IF(I50="",0,I50)),2))</f>
        <v>197</v>
      </c>
      <c r="K50" s="307">
        <v>1</v>
      </c>
      <c r="L50" s="308"/>
    </row>
    <row r="51" spans="1:12" x14ac:dyDescent="0.2">
      <c r="A51" s="199" t="s">
        <v>139</v>
      </c>
      <c r="B51" s="171" t="s">
        <v>136</v>
      </c>
      <c r="C51" s="213" t="s">
        <v>433</v>
      </c>
      <c r="D51" s="227" t="s">
        <v>434</v>
      </c>
      <c r="E51" s="157" t="s">
        <v>435</v>
      </c>
      <c r="F51" s="171" t="s">
        <v>37</v>
      </c>
      <c r="G51" s="241">
        <f>IF(H51="","",ROUND(H51/$C$3,2))</f>
        <v>3.32</v>
      </c>
      <c r="H51" s="255">
        <v>70</v>
      </c>
      <c r="I51" s="269"/>
      <c r="J51" s="282">
        <f>IF(H51="","",ROUND(H51*(1+IF(I51="",0,I51)),2))</f>
        <v>70</v>
      </c>
      <c r="K51" s="185">
        <v>1</v>
      </c>
      <c r="L51" s="285"/>
    </row>
    <row r="52" spans="1:12" x14ac:dyDescent="0.2">
      <c r="A52" s="298" t="s">
        <v>139</v>
      </c>
      <c r="B52" s="299" t="s">
        <v>436</v>
      </c>
      <c r="C52" s="300" t="s">
        <v>437</v>
      </c>
      <c r="D52" s="301" t="s">
        <v>438</v>
      </c>
      <c r="E52" s="302" t="s">
        <v>439</v>
      </c>
      <c r="F52" s="299" t="s">
        <v>37</v>
      </c>
      <c r="G52" s="303">
        <f>IF(H52="","",ROUND(H52/$C$3,2))</f>
        <v>31.07</v>
      </c>
      <c r="H52" s="304">
        <v>655</v>
      </c>
      <c r="I52" s="305"/>
      <c r="J52" s="306">
        <f>IF(H52="","",ROUND(H52*(1+IF(I52="",0,I52)),2))</f>
        <v>655</v>
      </c>
      <c r="K52" s="307">
        <v>1</v>
      </c>
      <c r="L52" s="308"/>
    </row>
    <row r="53" spans="1:12" x14ac:dyDescent="0.2">
      <c r="A53" s="199" t="s">
        <v>139</v>
      </c>
      <c r="B53" s="171" t="s">
        <v>436</v>
      </c>
      <c r="C53" s="213" t="s">
        <v>440</v>
      </c>
      <c r="D53" s="227" t="s">
        <v>441</v>
      </c>
      <c r="E53" s="157" t="s">
        <v>442</v>
      </c>
      <c r="F53" s="171" t="s">
        <v>37</v>
      </c>
      <c r="G53" s="241">
        <f>IF(H53="","",ROUND(H53/$C$3,2))</f>
        <v>35.67</v>
      </c>
      <c r="H53" s="255">
        <v>752</v>
      </c>
      <c r="I53" s="269"/>
      <c r="J53" s="282">
        <f>IF(H53="","",ROUND(H53*(1+IF(I53="",0,I53)),2))</f>
        <v>752</v>
      </c>
      <c r="K53" s="185">
        <v>1</v>
      </c>
      <c r="L53" s="285"/>
    </row>
    <row r="54" spans="1:12" x14ac:dyDescent="0.2">
      <c r="A54" s="298" t="s">
        <v>139</v>
      </c>
      <c r="B54" s="299" t="s">
        <v>436</v>
      </c>
      <c r="C54" s="300" t="s">
        <v>443</v>
      </c>
      <c r="D54" s="301" t="s">
        <v>444</v>
      </c>
      <c r="E54" s="302" t="s">
        <v>445</v>
      </c>
      <c r="F54" s="299" t="s">
        <v>37</v>
      </c>
      <c r="G54" s="303">
        <f>IF(H54="","",ROUND(H54/$C$3,2))</f>
        <v>33.68</v>
      </c>
      <c r="H54" s="304">
        <v>710</v>
      </c>
      <c r="I54" s="305"/>
      <c r="J54" s="306">
        <f>IF(H54="","",ROUND(H54*(1+IF(I54="",0,I54)),2))</f>
        <v>710</v>
      </c>
      <c r="K54" s="307">
        <v>1</v>
      </c>
      <c r="L54" s="308"/>
    </row>
    <row r="55" spans="1:12" x14ac:dyDescent="0.2">
      <c r="A55" s="199" t="s">
        <v>139</v>
      </c>
      <c r="B55" s="171" t="s">
        <v>436</v>
      </c>
      <c r="C55" s="213" t="s">
        <v>446</v>
      </c>
      <c r="D55" s="227" t="s">
        <v>447</v>
      </c>
      <c r="E55" s="157" t="s">
        <v>448</v>
      </c>
      <c r="F55" s="171" t="s">
        <v>37</v>
      </c>
      <c r="G55" s="241">
        <f>IF(H55="","",ROUND(H55/$C$3,2))</f>
        <v>38.43</v>
      </c>
      <c r="H55" s="255">
        <v>810</v>
      </c>
      <c r="I55" s="269"/>
      <c r="J55" s="282">
        <f>IF(H55="","",ROUND(H55*(1+IF(I55="",0,I55)),2))</f>
        <v>810</v>
      </c>
      <c r="K55" s="185">
        <v>1</v>
      </c>
      <c r="L55" s="285"/>
    </row>
    <row r="56" spans="1:12" x14ac:dyDescent="0.2">
      <c r="A56" s="298" t="s">
        <v>139</v>
      </c>
      <c r="B56" s="299" t="s">
        <v>436</v>
      </c>
      <c r="C56" s="300" t="s">
        <v>449</v>
      </c>
      <c r="D56" s="301" t="s">
        <v>450</v>
      </c>
      <c r="E56" s="302" t="s">
        <v>451</v>
      </c>
      <c r="F56" s="299" t="s">
        <v>37</v>
      </c>
      <c r="G56" s="303">
        <f>IF(H56="","",ROUND(H56/$C$3,2))</f>
        <v>38.659999999999997</v>
      </c>
      <c r="H56" s="304">
        <v>815</v>
      </c>
      <c r="I56" s="305"/>
      <c r="J56" s="306">
        <f>IF(H56="","",ROUND(H56*(1+IF(I56="",0,I56)),2))</f>
        <v>815</v>
      </c>
      <c r="K56" s="307">
        <v>1</v>
      </c>
      <c r="L56" s="308"/>
    </row>
    <row r="57" spans="1:12" x14ac:dyDescent="0.2">
      <c r="A57" s="199" t="s">
        <v>139</v>
      </c>
      <c r="B57" s="171" t="s">
        <v>436</v>
      </c>
      <c r="C57" s="213" t="s">
        <v>452</v>
      </c>
      <c r="D57" s="227" t="s">
        <v>453</v>
      </c>
      <c r="E57" s="157" t="s">
        <v>454</v>
      </c>
      <c r="F57" s="171" t="s">
        <v>37</v>
      </c>
      <c r="G57" s="241">
        <f>IF(H57="","",ROUND(H57/$C$3,2))</f>
        <v>64.75</v>
      </c>
      <c r="H57" s="255">
        <v>1365</v>
      </c>
      <c r="I57" s="269"/>
      <c r="J57" s="282">
        <f>IF(H57="","",ROUND(H57*(1+IF(I57="",0,I57)),2))</f>
        <v>1365</v>
      </c>
      <c r="K57" s="185">
        <v>1</v>
      </c>
      <c r="L57" s="285"/>
    </row>
    <row r="58" spans="1:12" x14ac:dyDescent="0.2">
      <c r="A58" s="298" t="s">
        <v>139</v>
      </c>
      <c r="B58" s="299" t="s">
        <v>436</v>
      </c>
      <c r="C58" s="300" t="s">
        <v>455</v>
      </c>
      <c r="D58" s="301" t="s">
        <v>456</v>
      </c>
      <c r="E58" s="302" t="s">
        <v>457</v>
      </c>
      <c r="F58" s="299" t="s">
        <v>37</v>
      </c>
      <c r="G58" s="303">
        <f>IF(H58="","",ROUND(H58/$C$3,2))</f>
        <v>43.69</v>
      </c>
      <c r="H58" s="304">
        <v>921</v>
      </c>
      <c r="I58" s="305"/>
      <c r="J58" s="306">
        <f>IF(H58="","",ROUND(H58*(1+IF(I58="",0,I58)),2))</f>
        <v>921</v>
      </c>
      <c r="K58" s="307">
        <v>1</v>
      </c>
      <c r="L58" s="308"/>
    </row>
    <row r="59" spans="1:12" x14ac:dyDescent="0.2">
      <c r="A59" s="199" t="s">
        <v>139</v>
      </c>
      <c r="B59" s="171" t="s">
        <v>436</v>
      </c>
      <c r="C59" s="213" t="s">
        <v>458</v>
      </c>
      <c r="D59" s="227" t="s">
        <v>459</v>
      </c>
      <c r="E59" s="157" t="s">
        <v>460</v>
      </c>
      <c r="F59" s="171" t="s">
        <v>37</v>
      </c>
      <c r="G59" s="241">
        <f>IF(H59="","",ROUND(H59/$C$3,2))</f>
        <v>36.76</v>
      </c>
      <c r="H59" s="255">
        <v>774.8</v>
      </c>
      <c r="I59" s="269"/>
      <c r="J59" s="282">
        <f>IF(H59="","",ROUND(H59*(1+IF(I59="",0,I59)),2))</f>
        <v>774.8</v>
      </c>
      <c r="K59" s="185">
        <v>1</v>
      </c>
      <c r="L59" s="285"/>
    </row>
    <row r="60" spans="1:12" x14ac:dyDescent="0.2">
      <c r="A60" s="298" t="s">
        <v>139</v>
      </c>
      <c r="B60" s="299" t="s">
        <v>436</v>
      </c>
      <c r="C60" s="300" t="s">
        <v>461</v>
      </c>
      <c r="D60" s="301" t="s">
        <v>462</v>
      </c>
      <c r="E60" s="302" t="s">
        <v>463</v>
      </c>
      <c r="F60" s="299" t="s">
        <v>37</v>
      </c>
      <c r="G60" s="303">
        <f>IF(H60="","",ROUND(H60/$C$3,2))</f>
        <v>19.690000000000001</v>
      </c>
      <c r="H60" s="304">
        <v>415</v>
      </c>
      <c r="I60" s="305"/>
      <c r="J60" s="306">
        <f>IF(H60="","",ROUND(H60*(1+IF(I60="",0,I60)),2))</f>
        <v>415</v>
      </c>
      <c r="K60" s="307">
        <v>1</v>
      </c>
      <c r="L60" s="308"/>
    </row>
    <row r="61" spans="1:12" x14ac:dyDescent="0.2">
      <c r="A61" s="199" t="s">
        <v>139</v>
      </c>
      <c r="B61" s="171" t="s">
        <v>436</v>
      </c>
      <c r="C61" s="213" t="s">
        <v>464</v>
      </c>
      <c r="D61" s="227" t="s">
        <v>465</v>
      </c>
      <c r="E61" s="157" t="s">
        <v>466</v>
      </c>
      <c r="F61" s="171" t="s">
        <v>37</v>
      </c>
      <c r="G61" s="241">
        <f>IF(H61="","",ROUND(H61/$C$3,2))</f>
        <v>26.42</v>
      </c>
      <c r="H61" s="255">
        <v>557</v>
      </c>
      <c r="I61" s="269"/>
      <c r="J61" s="282">
        <f>IF(H61="","",ROUND(H61*(1+IF(I61="",0,I61)),2))</f>
        <v>557</v>
      </c>
      <c r="K61" s="185">
        <v>1</v>
      </c>
      <c r="L61" s="285"/>
    </row>
    <row r="62" spans="1:12" x14ac:dyDescent="0.2">
      <c r="A62" s="298" t="s">
        <v>139</v>
      </c>
      <c r="B62" s="299" t="s">
        <v>467</v>
      </c>
      <c r="C62" s="300" t="s">
        <v>468</v>
      </c>
      <c r="D62" s="301" t="s">
        <v>469</v>
      </c>
      <c r="E62" s="302" t="s">
        <v>470</v>
      </c>
      <c r="F62" s="299" t="s">
        <v>37</v>
      </c>
      <c r="G62" s="303">
        <f>IF(H62="","",ROUND(H62/$C$3,2))</f>
        <v>2.5099999999999998</v>
      </c>
      <c r="H62" s="304">
        <v>53</v>
      </c>
      <c r="I62" s="305"/>
      <c r="J62" s="306">
        <f>IF(H62="","",ROUND(H62*(1+IF(I62="",0,I62)),2))</f>
        <v>53</v>
      </c>
      <c r="K62" s="307">
        <v>2</v>
      </c>
      <c r="L62" s="308"/>
    </row>
    <row r="63" spans="1:12" x14ac:dyDescent="0.2">
      <c r="A63" s="199" t="s">
        <v>139</v>
      </c>
      <c r="B63" s="171" t="s">
        <v>471</v>
      </c>
      <c r="C63" s="213" t="s">
        <v>472</v>
      </c>
      <c r="D63" s="227" t="s">
        <v>473</v>
      </c>
      <c r="E63" s="157" t="s">
        <v>474</v>
      </c>
      <c r="F63" s="171" t="s">
        <v>381</v>
      </c>
      <c r="G63" s="241">
        <f>IF(H63="","",ROUND(H63/$C$3,2))</f>
        <v>1.9</v>
      </c>
      <c r="H63" s="255">
        <v>40</v>
      </c>
      <c r="I63" s="269"/>
      <c r="J63" s="282">
        <f>IF(H63="","",ROUND(H63*(1+IF(I63="",0,I63)),2))</f>
        <v>40</v>
      </c>
      <c r="K63" s="185">
        <v>1</v>
      </c>
      <c r="L63" s="285"/>
    </row>
    <row r="64" spans="1:12" x14ac:dyDescent="0.2">
      <c r="A64" s="298" t="s">
        <v>139</v>
      </c>
      <c r="B64" s="299" t="s">
        <v>138</v>
      </c>
      <c r="C64" s="300" t="s">
        <v>475</v>
      </c>
      <c r="D64" s="301" t="s">
        <v>476</v>
      </c>
      <c r="E64" s="302" t="s">
        <v>477</v>
      </c>
      <c r="F64" s="299" t="s">
        <v>37</v>
      </c>
      <c r="G64" s="303">
        <f>IF(H64="","",ROUND(H64/$C$3,2))</f>
        <v>24.29</v>
      </c>
      <c r="H64" s="304">
        <v>512</v>
      </c>
      <c r="I64" s="305"/>
      <c r="J64" s="306">
        <f>IF(H64="","",ROUND(H64*(1+IF(I64="",0,I64)),2))</f>
        <v>512</v>
      </c>
      <c r="K64" s="307">
        <v>2</v>
      </c>
      <c r="L64" s="308"/>
    </row>
    <row r="65" spans="1:12" x14ac:dyDescent="0.2">
      <c r="A65" s="199" t="s">
        <v>139</v>
      </c>
      <c r="B65" s="171" t="s">
        <v>138</v>
      </c>
      <c r="C65" s="213" t="s">
        <v>478</v>
      </c>
      <c r="D65" s="227" t="s">
        <v>479</v>
      </c>
      <c r="E65" s="157" t="s">
        <v>480</v>
      </c>
      <c r="F65" s="171" t="s">
        <v>37</v>
      </c>
      <c r="G65" s="241">
        <f>IF(H65="","",ROUND(H65/$C$3,2))</f>
        <v>17.309999999999999</v>
      </c>
      <c r="H65" s="255">
        <v>365</v>
      </c>
      <c r="I65" s="269"/>
      <c r="J65" s="282">
        <f>IF(H65="","",ROUND(H65*(1+IF(I65="",0,I65)),2))</f>
        <v>365</v>
      </c>
      <c r="K65" s="185">
        <v>1</v>
      </c>
      <c r="L65" s="285"/>
    </row>
    <row r="66" spans="1:12" x14ac:dyDescent="0.2">
      <c r="A66" s="298" t="s">
        <v>139</v>
      </c>
      <c r="B66" s="299" t="s">
        <v>138</v>
      </c>
      <c r="C66" s="300" t="s">
        <v>481</v>
      </c>
      <c r="D66" s="301" t="s">
        <v>482</v>
      </c>
      <c r="E66" s="302" t="s">
        <v>483</v>
      </c>
      <c r="F66" s="299" t="s">
        <v>37</v>
      </c>
      <c r="G66" s="303">
        <f>IF(H66="","",ROUND(H66/$C$3,2))</f>
        <v>35.44</v>
      </c>
      <c r="H66" s="304">
        <v>747</v>
      </c>
      <c r="I66" s="305"/>
      <c r="J66" s="306">
        <f>IF(H66="","",ROUND(H66*(1+IF(I66="",0,I66)),2))</f>
        <v>747</v>
      </c>
      <c r="K66" s="307">
        <v>2</v>
      </c>
      <c r="L66" s="308"/>
    </row>
    <row r="67" spans="1:12" x14ac:dyDescent="0.2">
      <c r="A67" s="199" t="s">
        <v>139</v>
      </c>
      <c r="B67" s="171" t="s">
        <v>138</v>
      </c>
      <c r="C67" s="213" t="s">
        <v>484</v>
      </c>
      <c r="D67" s="227" t="s">
        <v>485</v>
      </c>
      <c r="E67" s="157" t="s">
        <v>486</v>
      </c>
      <c r="F67" s="171" t="s">
        <v>37</v>
      </c>
      <c r="G67" s="241">
        <f>IF(H67="","",ROUND(H67/$C$3,2))</f>
        <v>15.23</v>
      </c>
      <c r="H67" s="255">
        <v>321</v>
      </c>
      <c r="I67" s="269"/>
      <c r="J67" s="282">
        <f>IF(H67="","",ROUND(H67*(1+IF(I67="",0,I67)),2))</f>
        <v>321</v>
      </c>
      <c r="K67" s="185">
        <v>1</v>
      </c>
      <c r="L67" s="285"/>
    </row>
    <row r="68" spans="1:12" x14ac:dyDescent="0.2">
      <c r="A68" s="298" t="s">
        <v>139</v>
      </c>
      <c r="B68" s="299" t="s">
        <v>138</v>
      </c>
      <c r="C68" s="300" t="s">
        <v>487</v>
      </c>
      <c r="D68" s="301" t="s">
        <v>488</v>
      </c>
      <c r="E68" s="302" t="s">
        <v>489</v>
      </c>
      <c r="F68" s="299" t="s">
        <v>37</v>
      </c>
      <c r="G68" s="303">
        <f>IF(H68="","",ROUND(H68/$C$3,2))</f>
        <v>20.45</v>
      </c>
      <c r="H68" s="304">
        <v>431</v>
      </c>
      <c r="I68" s="305"/>
      <c r="J68" s="306">
        <f>IF(H68="","",ROUND(H68*(1+IF(I68="",0,I68)),2))</f>
        <v>431</v>
      </c>
      <c r="K68" s="307">
        <v>1</v>
      </c>
      <c r="L68" s="308"/>
    </row>
    <row r="69" spans="1:12" x14ac:dyDescent="0.2">
      <c r="A69" s="199" t="s">
        <v>139</v>
      </c>
      <c r="B69" s="171" t="s">
        <v>138</v>
      </c>
      <c r="C69" s="213" t="s">
        <v>490</v>
      </c>
      <c r="D69" s="227" t="s">
        <v>491</v>
      </c>
      <c r="E69" s="157" t="s">
        <v>492</v>
      </c>
      <c r="F69" s="171" t="s">
        <v>37</v>
      </c>
      <c r="G69" s="241">
        <f>IF(H69="","",ROUND(H69/$C$3,2))</f>
        <v>16.46</v>
      </c>
      <c r="H69" s="255">
        <v>347</v>
      </c>
      <c r="I69" s="269"/>
      <c r="J69" s="282">
        <f>IF(H69="","",ROUND(H69*(1+IF(I69="",0,I69)),2))</f>
        <v>347</v>
      </c>
      <c r="K69" s="185">
        <v>1</v>
      </c>
      <c r="L69" s="285"/>
    </row>
    <row r="70" spans="1:12" x14ac:dyDescent="0.2">
      <c r="A70" s="298" t="s">
        <v>139</v>
      </c>
      <c r="B70" s="299" t="s">
        <v>138</v>
      </c>
      <c r="C70" s="300" t="s">
        <v>493</v>
      </c>
      <c r="D70" s="301" t="s">
        <v>494</v>
      </c>
      <c r="E70" s="302" t="s">
        <v>495</v>
      </c>
      <c r="F70" s="299" t="s">
        <v>37</v>
      </c>
      <c r="G70" s="303">
        <f>IF(H70="","",ROUND(H70/$C$3,2))</f>
        <v>8.6300000000000008</v>
      </c>
      <c r="H70" s="304">
        <v>182</v>
      </c>
      <c r="I70" s="305"/>
      <c r="J70" s="306">
        <f>IF(H70="","",ROUND(H70*(1+IF(I70="",0,I70)),2))</f>
        <v>182</v>
      </c>
      <c r="K70" s="307">
        <v>1</v>
      </c>
      <c r="L70" s="308"/>
    </row>
    <row r="71" spans="1:12" x14ac:dyDescent="0.2">
      <c r="A71" s="199" t="s">
        <v>139</v>
      </c>
      <c r="B71" s="171" t="s">
        <v>138</v>
      </c>
      <c r="C71" s="213" t="s">
        <v>496</v>
      </c>
      <c r="D71" s="227" t="s">
        <v>497</v>
      </c>
      <c r="E71" s="157" t="s">
        <v>498</v>
      </c>
      <c r="F71" s="171" t="s">
        <v>37</v>
      </c>
      <c r="G71" s="241">
        <f>IF(H71="","",ROUND(H71/$C$3,2))</f>
        <v>15.94</v>
      </c>
      <c r="H71" s="255">
        <v>336</v>
      </c>
      <c r="I71" s="269"/>
      <c r="J71" s="282">
        <f>IF(H71="","",ROUND(H71*(1+IF(I71="",0,I71)),2))</f>
        <v>336</v>
      </c>
      <c r="K71" s="185">
        <v>2</v>
      </c>
      <c r="L71" s="285"/>
    </row>
    <row r="72" spans="1:12" x14ac:dyDescent="0.2">
      <c r="A72" s="298" t="s">
        <v>139</v>
      </c>
      <c r="B72" s="299" t="s">
        <v>138</v>
      </c>
      <c r="C72" s="300" t="s">
        <v>499</v>
      </c>
      <c r="D72" s="301" t="s">
        <v>500</v>
      </c>
      <c r="E72" s="302" t="s">
        <v>501</v>
      </c>
      <c r="F72" s="299" t="s">
        <v>37</v>
      </c>
      <c r="G72" s="303">
        <f>IF(H72="","",ROUND(H72/$C$3,2))</f>
        <v>45</v>
      </c>
      <c r="H72" s="304">
        <v>948.6</v>
      </c>
      <c r="I72" s="305"/>
      <c r="J72" s="306">
        <f>IF(H72="","",ROUND(H72*(1+IF(I72="",0,I72)),2))</f>
        <v>948.6</v>
      </c>
      <c r="K72" s="307">
        <v>1</v>
      </c>
      <c r="L72" s="308"/>
    </row>
    <row r="73" spans="1:12" x14ac:dyDescent="0.2">
      <c r="A73" s="199"/>
      <c r="B73" s="171"/>
      <c r="C73" s="213"/>
      <c r="D73" s="227"/>
      <c r="E73" s="157"/>
      <c r="F73" s="171"/>
      <c r="G73" s="241"/>
      <c r="H73" s="255"/>
      <c r="I73" s="269"/>
      <c r="J73" s="282"/>
      <c r="K73" s="185"/>
      <c r="L73" s="285"/>
    </row>
    <row r="74" spans="1:12" ht="22" customHeight="1" x14ac:dyDescent="0.2">
      <c r="A74" s="201" t="s">
        <v>502</v>
      </c>
      <c r="B74" s="173"/>
      <c r="C74" s="215"/>
      <c r="D74" s="229"/>
      <c r="E74" s="159"/>
      <c r="F74" s="173"/>
      <c r="G74" s="243"/>
      <c r="H74" s="257"/>
      <c r="I74" s="271"/>
      <c r="J74" s="243"/>
      <c r="K74" s="187"/>
      <c r="L74" s="287"/>
    </row>
    <row r="75" spans="1:12" x14ac:dyDescent="0.2">
      <c r="A75" s="298" t="s">
        <v>140</v>
      </c>
      <c r="B75" s="299" t="s">
        <v>143</v>
      </c>
      <c r="C75" s="300" t="s">
        <v>503</v>
      </c>
      <c r="D75" s="301" t="s">
        <v>504</v>
      </c>
      <c r="E75" s="302" t="s">
        <v>505</v>
      </c>
      <c r="F75" s="299" t="s">
        <v>37</v>
      </c>
      <c r="G75" s="303">
        <f>IF(H75="","",ROUND(H75/$C$3,2))</f>
        <v>2.86</v>
      </c>
      <c r="H75" s="304">
        <v>60.39</v>
      </c>
      <c r="I75" s="305"/>
      <c r="J75" s="306">
        <f>IF(H75="","",ROUND(H75*(1+IF(I75="",0,I75)),2))</f>
        <v>60.39</v>
      </c>
      <c r="K75" s="307">
        <v>1</v>
      </c>
      <c r="L75" s="308"/>
    </row>
    <row r="76" spans="1:12" x14ac:dyDescent="0.2">
      <c r="A76" s="199" t="s">
        <v>140</v>
      </c>
      <c r="B76" s="171" t="s">
        <v>143</v>
      </c>
      <c r="C76" s="213" t="s">
        <v>506</v>
      </c>
      <c r="D76" s="227" t="s">
        <v>507</v>
      </c>
      <c r="E76" s="157" t="s">
        <v>508</v>
      </c>
      <c r="F76" s="171" t="s">
        <v>37</v>
      </c>
      <c r="G76" s="241">
        <f>IF(H76="","",ROUND(H76/$C$3,2))</f>
        <v>3.77</v>
      </c>
      <c r="H76" s="255">
        <v>79.53</v>
      </c>
      <c r="I76" s="269"/>
      <c r="J76" s="282">
        <f>IF(H76="","",ROUND(H76*(1+IF(I76="",0,I76)),2))</f>
        <v>79.53</v>
      </c>
      <c r="K76" s="185">
        <v>1</v>
      </c>
      <c r="L76" s="285"/>
    </row>
    <row r="77" spans="1:12" x14ac:dyDescent="0.2">
      <c r="A77" s="298" t="s">
        <v>140</v>
      </c>
      <c r="B77" s="299" t="s">
        <v>143</v>
      </c>
      <c r="C77" s="300" t="s">
        <v>509</v>
      </c>
      <c r="D77" s="301" t="s">
        <v>510</v>
      </c>
      <c r="E77" s="302" t="s">
        <v>511</v>
      </c>
      <c r="F77" s="299" t="s">
        <v>37</v>
      </c>
      <c r="G77" s="303">
        <f>IF(H77="","",ROUND(H77/$C$3,2))</f>
        <v>2.87</v>
      </c>
      <c r="H77" s="304">
        <v>60.57</v>
      </c>
      <c r="I77" s="305"/>
      <c r="J77" s="306">
        <f>IF(H77="","",ROUND(H77*(1+IF(I77="",0,I77)),2))</f>
        <v>60.57</v>
      </c>
      <c r="K77" s="307">
        <v>1</v>
      </c>
      <c r="L77" s="308"/>
    </row>
    <row r="78" spans="1:12" x14ac:dyDescent="0.2">
      <c r="A78" s="199" t="s">
        <v>140</v>
      </c>
      <c r="B78" s="171" t="s">
        <v>143</v>
      </c>
      <c r="C78" s="213" t="s">
        <v>512</v>
      </c>
      <c r="D78" s="227" t="s">
        <v>513</v>
      </c>
      <c r="E78" s="157" t="s">
        <v>514</v>
      </c>
      <c r="F78" s="171" t="s">
        <v>37</v>
      </c>
      <c r="G78" s="241">
        <f>IF(H78="","",ROUND(H78/$C$3,2))</f>
        <v>3.03</v>
      </c>
      <c r="H78" s="255">
        <v>63.84</v>
      </c>
      <c r="I78" s="269"/>
      <c r="J78" s="282">
        <f>IF(H78="","",ROUND(H78*(1+IF(I78="",0,I78)),2))</f>
        <v>63.84</v>
      </c>
      <c r="K78" s="185">
        <v>1</v>
      </c>
      <c r="L78" s="285"/>
    </row>
    <row r="79" spans="1:12" x14ac:dyDescent="0.2">
      <c r="A79" s="298" t="s">
        <v>140</v>
      </c>
      <c r="B79" s="299" t="s">
        <v>143</v>
      </c>
      <c r="C79" s="300" t="s">
        <v>515</v>
      </c>
      <c r="D79" s="301" t="s">
        <v>516</v>
      </c>
      <c r="E79" s="302" t="s">
        <v>517</v>
      </c>
      <c r="F79" s="299" t="s">
        <v>142</v>
      </c>
      <c r="G79" s="303">
        <f>IF(H79="","",ROUND(H79/$C$3,2))</f>
        <v>10.28</v>
      </c>
      <c r="H79" s="304">
        <v>216.61</v>
      </c>
      <c r="I79" s="305"/>
      <c r="J79" s="306">
        <f>IF(H79="","",ROUND(H79*(1+IF(I79="",0,I79)),2))</f>
        <v>216.61</v>
      </c>
      <c r="K79" s="307">
        <v>2</v>
      </c>
      <c r="L79" s="308"/>
    </row>
    <row r="80" spans="1:12" x14ac:dyDescent="0.2">
      <c r="A80" s="199" t="s">
        <v>140</v>
      </c>
      <c r="B80" s="171" t="s">
        <v>143</v>
      </c>
      <c r="C80" s="213" t="s">
        <v>518</v>
      </c>
      <c r="D80" s="227" t="s">
        <v>519</v>
      </c>
      <c r="E80" s="157" t="s">
        <v>520</v>
      </c>
      <c r="F80" s="171" t="s">
        <v>37</v>
      </c>
      <c r="G80" s="241">
        <f>IF(H80="","",ROUND(H80/$C$3,2))</f>
        <v>21.37</v>
      </c>
      <c r="H80" s="255">
        <v>450.43</v>
      </c>
      <c r="I80" s="269"/>
      <c r="J80" s="282">
        <f>IF(H80="","",ROUND(H80*(1+IF(I80="",0,I80)),2))</f>
        <v>450.43</v>
      </c>
      <c r="K80" s="185">
        <v>2</v>
      </c>
      <c r="L80" s="285"/>
    </row>
    <row r="81" spans="1:12" x14ac:dyDescent="0.2">
      <c r="A81" s="298" t="s">
        <v>140</v>
      </c>
      <c r="B81" s="299" t="s">
        <v>143</v>
      </c>
      <c r="C81" s="300" t="s">
        <v>521</v>
      </c>
      <c r="D81" s="301" t="s">
        <v>522</v>
      </c>
      <c r="E81" s="302" t="s">
        <v>523</v>
      </c>
      <c r="F81" s="299" t="s">
        <v>37</v>
      </c>
      <c r="G81" s="303">
        <f>IF(H81="","",ROUND(H81/$C$3,2))</f>
        <v>3.23</v>
      </c>
      <c r="H81" s="304">
        <v>68.02</v>
      </c>
      <c r="I81" s="305"/>
      <c r="J81" s="306">
        <f>IF(H81="","",ROUND(H81*(1+IF(I81="",0,I81)),2))</f>
        <v>68.02</v>
      </c>
      <c r="K81" s="307">
        <v>1</v>
      </c>
      <c r="L81" s="308"/>
    </row>
    <row r="82" spans="1:12" x14ac:dyDescent="0.2">
      <c r="A82" s="199" t="s">
        <v>140</v>
      </c>
      <c r="B82" s="171" t="s">
        <v>143</v>
      </c>
      <c r="C82" s="213" t="s">
        <v>524</v>
      </c>
      <c r="D82" s="227" t="s">
        <v>525</v>
      </c>
      <c r="E82" s="157" t="s">
        <v>526</v>
      </c>
      <c r="F82" s="171" t="s">
        <v>37</v>
      </c>
      <c r="G82" s="241">
        <f>IF(H82="","",ROUND(H82/$C$3,2))</f>
        <v>2.87</v>
      </c>
      <c r="H82" s="255">
        <v>60.53</v>
      </c>
      <c r="I82" s="269"/>
      <c r="J82" s="282">
        <f>IF(H82="","",ROUND(H82*(1+IF(I82="",0,I82)),2))</f>
        <v>60.53</v>
      </c>
      <c r="K82" s="185">
        <v>2</v>
      </c>
      <c r="L82" s="285"/>
    </row>
    <row r="83" spans="1:12" x14ac:dyDescent="0.2">
      <c r="A83" s="298" t="s">
        <v>140</v>
      </c>
      <c r="B83" s="299" t="s">
        <v>143</v>
      </c>
      <c r="C83" s="300" t="s">
        <v>527</v>
      </c>
      <c r="D83" s="301" t="s">
        <v>528</v>
      </c>
      <c r="E83" s="302" t="s">
        <v>529</v>
      </c>
      <c r="F83" s="299" t="s">
        <v>37</v>
      </c>
      <c r="G83" s="303">
        <f>IF(H83="","",ROUND(H83/$C$3,2))</f>
        <v>4.1100000000000003</v>
      </c>
      <c r="H83" s="304">
        <v>86.57</v>
      </c>
      <c r="I83" s="305"/>
      <c r="J83" s="306">
        <f>IF(H83="","",ROUND(H83*(1+IF(I83="",0,I83)),2))</f>
        <v>86.57</v>
      </c>
      <c r="K83" s="307">
        <v>2</v>
      </c>
      <c r="L83" s="308"/>
    </row>
    <row r="84" spans="1:12" x14ac:dyDescent="0.2">
      <c r="A84" s="199" t="s">
        <v>140</v>
      </c>
      <c r="B84" s="171" t="s">
        <v>530</v>
      </c>
      <c r="C84" s="213" t="s">
        <v>531</v>
      </c>
      <c r="D84" s="227" t="s">
        <v>532</v>
      </c>
      <c r="E84" s="157" t="s">
        <v>533</v>
      </c>
      <c r="F84" s="171" t="s">
        <v>37</v>
      </c>
      <c r="G84" s="241">
        <f>IF(H84="","",ROUND(H84/$C$3,2))</f>
        <v>0.06</v>
      </c>
      <c r="H84" s="255">
        <v>1.37</v>
      </c>
      <c r="I84" s="269"/>
      <c r="J84" s="282">
        <f>IF(H84="","",ROUND(H84*(1+IF(I84="",0,I84)),2))</f>
        <v>1.37</v>
      </c>
      <c r="K84" s="185">
        <v>1</v>
      </c>
      <c r="L84" s="285"/>
    </row>
    <row r="85" spans="1:12" x14ac:dyDescent="0.2">
      <c r="A85" s="298" t="s">
        <v>140</v>
      </c>
      <c r="B85" s="299" t="s">
        <v>534</v>
      </c>
      <c r="C85" s="300" t="s">
        <v>535</v>
      </c>
      <c r="D85" s="301" t="s">
        <v>536</v>
      </c>
      <c r="E85" s="302" t="s">
        <v>537</v>
      </c>
      <c r="F85" s="299" t="s">
        <v>37</v>
      </c>
      <c r="G85" s="303">
        <f>IF(H85="","",ROUND(H85/$C$3,2))</f>
        <v>8.24</v>
      </c>
      <c r="H85" s="304">
        <v>173.79</v>
      </c>
      <c r="I85" s="305"/>
      <c r="J85" s="306">
        <f>IF(H85="","",ROUND(H85*(1+IF(I85="",0,I85)),2))</f>
        <v>173.79</v>
      </c>
      <c r="K85" s="307">
        <v>2</v>
      </c>
      <c r="L85" s="308"/>
    </row>
    <row r="86" spans="1:12" x14ac:dyDescent="0.2">
      <c r="A86" s="199" t="s">
        <v>140</v>
      </c>
      <c r="B86" s="171" t="s">
        <v>534</v>
      </c>
      <c r="C86" s="213" t="s">
        <v>538</v>
      </c>
      <c r="D86" s="227" t="s">
        <v>539</v>
      </c>
      <c r="E86" s="157" t="s">
        <v>540</v>
      </c>
      <c r="F86" s="171" t="s">
        <v>37</v>
      </c>
      <c r="G86" s="241">
        <f>IF(H86="","",ROUND(H86/$C$3,2))</f>
        <v>8.31</v>
      </c>
      <c r="H86" s="255">
        <v>175.23</v>
      </c>
      <c r="I86" s="269"/>
      <c r="J86" s="282">
        <f>IF(H86="","",ROUND(H86*(1+IF(I86="",0,I86)),2))</f>
        <v>175.23</v>
      </c>
      <c r="K86" s="185">
        <v>2</v>
      </c>
      <c r="L86" s="285"/>
    </row>
    <row r="87" spans="1:12" x14ac:dyDescent="0.2">
      <c r="A87" s="298" t="s">
        <v>140</v>
      </c>
      <c r="B87" s="299" t="s">
        <v>534</v>
      </c>
      <c r="C87" s="300" t="s">
        <v>541</v>
      </c>
      <c r="D87" s="301" t="s">
        <v>542</v>
      </c>
      <c r="E87" s="302" t="s">
        <v>543</v>
      </c>
      <c r="F87" s="299" t="s">
        <v>544</v>
      </c>
      <c r="G87" s="303">
        <f>IF(H87="","",ROUND(H87/$C$3,2))</f>
        <v>20.75</v>
      </c>
      <c r="H87" s="304">
        <v>437.37</v>
      </c>
      <c r="I87" s="305"/>
      <c r="J87" s="306">
        <f>IF(H87="","",ROUND(H87*(1+IF(I87="",0,I87)),2))</f>
        <v>437.37</v>
      </c>
      <c r="K87" s="307">
        <v>1</v>
      </c>
      <c r="L87" s="308"/>
    </row>
    <row r="88" spans="1:12" x14ac:dyDescent="0.2">
      <c r="A88" s="199" t="s">
        <v>140</v>
      </c>
      <c r="B88" s="171" t="s">
        <v>534</v>
      </c>
      <c r="C88" s="213" t="s">
        <v>545</v>
      </c>
      <c r="D88" s="227" t="s">
        <v>546</v>
      </c>
      <c r="E88" s="157" t="s">
        <v>547</v>
      </c>
      <c r="F88" s="171" t="s">
        <v>544</v>
      </c>
      <c r="G88" s="241">
        <f>IF(H88="","",ROUND(H88/$C$3,2))</f>
        <v>20.75</v>
      </c>
      <c r="H88" s="255">
        <v>437.37</v>
      </c>
      <c r="I88" s="269"/>
      <c r="J88" s="282">
        <f>IF(H88="","",ROUND(H88*(1+IF(I88="",0,I88)),2))</f>
        <v>437.37</v>
      </c>
      <c r="K88" s="185">
        <v>1</v>
      </c>
      <c r="L88" s="285"/>
    </row>
    <row r="89" spans="1:12" x14ac:dyDescent="0.2">
      <c r="A89" s="298" t="s">
        <v>140</v>
      </c>
      <c r="B89" s="299" t="s">
        <v>548</v>
      </c>
      <c r="C89" s="300" t="s">
        <v>549</v>
      </c>
      <c r="D89" s="301" t="s">
        <v>550</v>
      </c>
      <c r="E89" s="302" t="s">
        <v>551</v>
      </c>
      <c r="F89" s="299" t="s">
        <v>37</v>
      </c>
      <c r="G89" s="303">
        <f>IF(H89="","",ROUND(H89/$C$3,2))</f>
        <v>0.82</v>
      </c>
      <c r="H89" s="304">
        <v>17.28</v>
      </c>
      <c r="I89" s="305"/>
      <c r="J89" s="306">
        <f>IF(H89="","",ROUND(H89*(1+IF(I89="",0,I89)),2))</f>
        <v>17.28</v>
      </c>
      <c r="K89" s="307">
        <v>1</v>
      </c>
      <c r="L89" s="308"/>
    </row>
    <row r="90" spans="1:12" x14ac:dyDescent="0.2">
      <c r="A90" s="199" t="s">
        <v>140</v>
      </c>
      <c r="B90" s="171" t="s">
        <v>141</v>
      </c>
      <c r="C90" s="213" t="s">
        <v>552</v>
      </c>
      <c r="D90" s="227" t="s">
        <v>553</v>
      </c>
      <c r="E90" s="157" t="s">
        <v>554</v>
      </c>
      <c r="F90" s="171" t="s">
        <v>544</v>
      </c>
      <c r="G90" s="241">
        <f>IF(H90="","",ROUND(H90/$C$3,2))</f>
        <v>42.39</v>
      </c>
      <c r="H90" s="255">
        <v>893.58</v>
      </c>
      <c r="I90" s="269"/>
      <c r="J90" s="282">
        <f>IF(H90="","",ROUND(H90*(1+IF(I90="",0,I90)),2))</f>
        <v>893.58</v>
      </c>
      <c r="K90" s="185">
        <v>1</v>
      </c>
      <c r="L90" s="285"/>
    </row>
    <row r="91" spans="1:12" x14ac:dyDescent="0.2">
      <c r="A91" s="298" t="s">
        <v>140</v>
      </c>
      <c r="B91" s="299" t="s">
        <v>141</v>
      </c>
      <c r="C91" s="300" t="s">
        <v>555</v>
      </c>
      <c r="D91" s="301" t="s">
        <v>556</v>
      </c>
      <c r="E91" s="302" t="s">
        <v>557</v>
      </c>
      <c r="F91" s="299" t="s">
        <v>544</v>
      </c>
      <c r="G91" s="303">
        <f>IF(H91="","",ROUND(H91/$C$3,2))</f>
        <v>41.42</v>
      </c>
      <c r="H91" s="304">
        <v>873.13</v>
      </c>
      <c r="I91" s="305"/>
      <c r="J91" s="306">
        <f>IF(H91="","",ROUND(H91*(1+IF(I91="",0,I91)),2))</f>
        <v>873.13</v>
      </c>
      <c r="K91" s="307">
        <v>1</v>
      </c>
      <c r="L91" s="308"/>
    </row>
    <row r="92" spans="1:12" x14ac:dyDescent="0.2">
      <c r="A92" s="199" t="s">
        <v>140</v>
      </c>
      <c r="B92" s="171" t="s">
        <v>141</v>
      </c>
      <c r="C92" s="213" t="s">
        <v>558</v>
      </c>
      <c r="D92" s="227" t="s">
        <v>559</v>
      </c>
      <c r="E92" s="157" t="s">
        <v>560</v>
      </c>
      <c r="F92" s="171" t="s">
        <v>544</v>
      </c>
      <c r="G92" s="241">
        <f>IF(H92="","",ROUND(H92/$C$3,2))</f>
        <v>41.88</v>
      </c>
      <c r="H92" s="255">
        <v>882.83</v>
      </c>
      <c r="I92" s="269"/>
      <c r="J92" s="282">
        <f>IF(H92="","",ROUND(H92*(1+IF(I92="",0,I92)),2))</f>
        <v>882.83</v>
      </c>
      <c r="K92" s="185">
        <v>1</v>
      </c>
      <c r="L92" s="285"/>
    </row>
    <row r="93" spans="1:12" x14ac:dyDescent="0.2">
      <c r="A93" s="298" t="s">
        <v>140</v>
      </c>
      <c r="B93" s="299" t="s">
        <v>141</v>
      </c>
      <c r="C93" s="300" t="s">
        <v>561</v>
      </c>
      <c r="D93" s="301" t="s">
        <v>562</v>
      </c>
      <c r="E93" s="302" t="s">
        <v>563</v>
      </c>
      <c r="F93" s="299" t="s">
        <v>544</v>
      </c>
      <c r="G93" s="303">
        <f>IF(H93="","",ROUND(H93/$C$3,2))</f>
        <v>42.85</v>
      </c>
      <c r="H93" s="304">
        <v>903.28</v>
      </c>
      <c r="I93" s="305"/>
      <c r="J93" s="306">
        <f>IF(H93="","",ROUND(H93*(1+IF(I93="",0,I93)),2))</f>
        <v>903.28</v>
      </c>
      <c r="K93" s="307">
        <v>1</v>
      </c>
      <c r="L93" s="308"/>
    </row>
    <row r="94" spans="1:12" x14ac:dyDescent="0.2">
      <c r="A94" s="199" t="s">
        <v>140</v>
      </c>
      <c r="B94" s="171" t="s">
        <v>141</v>
      </c>
      <c r="C94" s="213" t="s">
        <v>564</v>
      </c>
      <c r="D94" s="227" t="s">
        <v>565</v>
      </c>
      <c r="E94" s="157" t="s">
        <v>566</v>
      </c>
      <c r="F94" s="171" t="s">
        <v>544</v>
      </c>
      <c r="G94" s="241">
        <f>IF(H94="","",ROUND(H94/$C$3,2))</f>
        <v>43.4</v>
      </c>
      <c r="H94" s="255">
        <v>914.87</v>
      </c>
      <c r="I94" s="269"/>
      <c r="J94" s="282">
        <f>IF(H94="","",ROUND(H94*(1+IF(I94="",0,I94)),2))</f>
        <v>914.87</v>
      </c>
      <c r="K94" s="185">
        <v>1</v>
      </c>
      <c r="L94" s="285"/>
    </row>
    <row r="95" spans="1:12" x14ac:dyDescent="0.2">
      <c r="A95" s="298" t="s">
        <v>140</v>
      </c>
      <c r="B95" s="299" t="s">
        <v>141</v>
      </c>
      <c r="C95" s="300" t="s">
        <v>567</v>
      </c>
      <c r="D95" s="301" t="s">
        <v>568</v>
      </c>
      <c r="E95" s="302" t="s">
        <v>569</v>
      </c>
      <c r="F95" s="299" t="s">
        <v>544</v>
      </c>
      <c r="G95" s="303">
        <f>IF(H95="","",ROUND(H95/$C$3,2))</f>
        <v>8.83</v>
      </c>
      <c r="H95" s="304">
        <v>186.21</v>
      </c>
      <c r="I95" s="305"/>
      <c r="J95" s="306">
        <f>IF(H95="","",ROUND(H95*(1+IF(I95="",0,I95)),2))</f>
        <v>186.21</v>
      </c>
      <c r="K95" s="307">
        <v>1</v>
      </c>
      <c r="L95" s="308"/>
    </row>
    <row r="96" spans="1:12" x14ac:dyDescent="0.2">
      <c r="A96" s="199" t="s">
        <v>140</v>
      </c>
      <c r="B96" s="171" t="s">
        <v>141</v>
      </c>
      <c r="C96" s="213" t="s">
        <v>570</v>
      </c>
      <c r="D96" s="227" t="s">
        <v>571</v>
      </c>
      <c r="E96" s="157" t="s">
        <v>572</v>
      </c>
      <c r="F96" s="171" t="s">
        <v>544</v>
      </c>
      <c r="G96" s="241">
        <f>IF(H96="","",ROUND(H96/$C$3,2))</f>
        <v>9.24</v>
      </c>
      <c r="H96" s="255">
        <v>194.83</v>
      </c>
      <c r="I96" s="269"/>
      <c r="J96" s="282">
        <f>IF(H96="","",ROUND(H96*(1+IF(I96="",0,I96)),2))</f>
        <v>194.83</v>
      </c>
      <c r="K96" s="185">
        <v>1</v>
      </c>
      <c r="L96" s="285"/>
    </row>
    <row r="97" spans="1:12" x14ac:dyDescent="0.2">
      <c r="A97" s="298" t="s">
        <v>140</v>
      </c>
      <c r="B97" s="299" t="s">
        <v>141</v>
      </c>
      <c r="C97" s="300" t="s">
        <v>573</v>
      </c>
      <c r="D97" s="301" t="s">
        <v>574</v>
      </c>
      <c r="E97" s="302" t="s">
        <v>575</v>
      </c>
      <c r="F97" s="299" t="s">
        <v>544</v>
      </c>
      <c r="G97" s="303">
        <f>IF(H97="","",ROUND(H97/$C$3,2))</f>
        <v>1.3</v>
      </c>
      <c r="H97" s="304">
        <v>27.37</v>
      </c>
      <c r="I97" s="305"/>
      <c r="J97" s="306">
        <f>IF(H97="","",ROUND(H97*(1+IF(I97="",0,I97)),2))</f>
        <v>27.37</v>
      </c>
      <c r="K97" s="307">
        <v>1</v>
      </c>
      <c r="L97" s="308"/>
    </row>
    <row r="98" spans="1:12" x14ac:dyDescent="0.2">
      <c r="A98" s="199" t="s">
        <v>140</v>
      </c>
      <c r="B98" s="171" t="s">
        <v>141</v>
      </c>
      <c r="C98" s="213" t="s">
        <v>576</v>
      </c>
      <c r="D98" s="227" t="s">
        <v>577</v>
      </c>
      <c r="E98" s="157" t="s">
        <v>578</v>
      </c>
      <c r="F98" s="171" t="s">
        <v>544</v>
      </c>
      <c r="G98" s="241">
        <f>IF(H98="","",ROUND(H98/$C$3,2))</f>
        <v>1.91</v>
      </c>
      <c r="H98" s="255">
        <v>40.229999999999997</v>
      </c>
      <c r="I98" s="269"/>
      <c r="J98" s="282">
        <f>IF(H98="","",ROUND(H98*(1+IF(I98="",0,I98)),2))</f>
        <v>40.229999999999997</v>
      </c>
      <c r="K98" s="185">
        <v>1</v>
      </c>
      <c r="L98" s="285"/>
    </row>
    <row r="99" spans="1:12" x14ac:dyDescent="0.2">
      <c r="A99" s="298" t="s">
        <v>140</v>
      </c>
      <c r="B99" s="299" t="s">
        <v>141</v>
      </c>
      <c r="C99" s="300" t="s">
        <v>579</v>
      </c>
      <c r="D99" s="301" t="s">
        <v>580</v>
      </c>
      <c r="E99" s="302" t="s">
        <v>581</v>
      </c>
      <c r="F99" s="299" t="s">
        <v>544</v>
      </c>
      <c r="G99" s="303">
        <f>IF(H99="","",ROUND(H99/$C$3,2))</f>
        <v>2.23</v>
      </c>
      <c r="H99" s="304">
        <v>46.94</v>
      </c>
      <c r="I99" s="305"/>
      <c r="J99" s="306">
        <f>IF(H99="","",ROUND(H99*(1+IF(I99="",0,I99)),2))</f>
        <v>46.94</v>
      </c>
      <c r="K99" s="307">
        <v>1</v>
      </c>
      <c r="L99" s="308"/>
    </row>
    <row r="100" spans="1:12" x14ac:dyDescent="0.2">
      <c r="A100" s="199" t="s">
        <v>140</v>
      </c>
      <c r="B100" s="171" t="s">
        <v>141</v>
      </c>
      <c r="C100" s="213" t="s">
        <v>582</v>
      </c>
      <c r="D100" s="227" t="s">
        <v>583</v>
      </c>
      <c r="E100" s="157" t="s">
        <v>584</v>
      </c>
      <c r="F100" s="171" t="s">
        <v>544</v>
      </c>
      <c r="G100" s="241">
        <f>IF(H100="","",ROUND(H100/$C$3,2))</f>
        <v>2.8</v>
      </c>
      <c r="H100" s="255">
        <v>58.99</v>
      </c>
      <c r="I100" s="269"/>
      <c r="J100" s="282">
        <f>IF(H100="","",ROUND(H100*(1+IF(I100="",0,I100)),2))</f>
        <v>58.99</v>
      </c>
      <c r="K100" s="185">
        <v>1</v>
      </c>
      <c r="L100" s="285"/>
    </row>
    <row r="101" spans="1:12" x14ac:dyDescent="0.2">
      <c r="A101" s="298" t="s">
        <v>140</v>
      </c>
      <c r="B101" s="299" t="s">
        <v>141</v>
      </c>
      <c r="C101" s="300" t="s">
        <v>585</v>
      </c>
      <c r="D101" s="301" t="s">
        <v>586</v>
      </c>
      <c r="E101" s="302" t="s">
        <v>587</v>
      </c>
      <c r="F101" s="299" t="s">
        <v>544</v>
      </c>
      <c r="G101" s="303">
        <f>IF(H101="","",ROUND(H101/$C$3,2))</f>
        <v>2.86</v>
      </c>
      <c r="H101" s="304">
        <v>60.33</v>
      </c>
      <c r="I101" s="305"/>
      <c r="J101" s="306">
        <f>IF(H101="","",ROUND(H101*(1+IF(I101="",0,I101)),2))</f>
        <v>60.33</v>
      </c>
      <c r="K101" s="307">
        <v>1</v>
      </c>
      <c r="L101" s="308"/>
    </row>
    <row r="102" spans="1:12" x14ac:dyDescent="0.2">
      <c r="A102" s="199" t="s">
        <v>140</v>
      </c>
      <c r="B102" s="171" t="s">
        <v>141</v>
      </c>
      <c r="C102" s="213" t="s">
        <v>588</v>
      </c>
      <c r="D102" s="227" t="s">
        <v>589</v>
      </c>
      <c r="E102" s="157" t="s">
        <v>590</v>
      </c>
      <c r="F102" s="171" t="s">
        <v>544</v>
      </c>
      <c r="G102" s="241">
        <f>IF(H102="","",ROUND(H102/$C$3,2))</f>
        <v>3.5</v>
      </c>
      <c r="H102" s="255">
        <v>73.73</v>
      </c>
      <c r="I102" s="269"/>
      <c r="J102" s="282">
        <f>IF(H102="","",ROUND(H102*(1+IF(I102="",0,I102)),2))</f>
        <v>73.73</v>
      </c>
      <c r="K102" s="185">
        <v>1</v>
      </c>
      <c r="L102" s="285"/>
    </row>
    <row r="103" spans="1:12" x14ac:dyDescent="0.2">
      <c r="A103" s="298" t="s">
        <v>140</v>
      </c>
      <c r="B103" s="299" t="s">
        <v>141</v>
      </c>
      <c r="C103" s="300" t="s">
        <v>591</v>
      </c>
      <c r="D103" s="301" t="s">
        <v>592</v>
      </c>
      <c r="E103" s="302" t="s">
        <v>593</v>
      </c>
      <c r="F103" s="299" t="s">
        <v>544</v>
      </c>
      <c r="G103" s="303">
        <f>IF(H103="","",ROUND(H103/$C$3,2))</f>
        <v>2.4</v>
      </c>
      <c r="H103" s="304">
        <v>50.52</v>
      </c>
      <c r="I103" s="305"/>
      <c r="J103" s="306">
        <f>IF(H103="","",ROUND(H103*(1+IF(I103="",0,I103)),2))</f>
        <v>50.52</v>
      </c>
      <c r="K103" s="307">
        <v>1</v>
      </c>
      <c r="L103" s="308"/>
    </row>
    <row r="104" spans="1:12" x14ac:dyDescent="0.2">
      <c r="A104" s="199" t="s">
        <v>140</v>
      </c>
      <c r="B104" s="171" t="s">
        <v>141</v>
      </c>
      <c r="C104" s="213" t="s">
        <v>594</v>
      </c>
      <c r="D104" s="227" t="s">
        <v>595</v>
      </c>
      <c r="E104" s="157" t="s">
        <v>596</v>
      </c>
      <c r="F104" s="171" t="s">
        <v>544</v>
      </c>
      <c r="G104" s="241">
        <f>IF(H104="","",ROUND(H104/$C$3,2))</f>
        <v>2.61</v>
      </c>
      <c r="H104" s="255">
        <v>54.97</v>
      </c>
      <c r="I104" s="269"/>
      <c r="J104" s="282">
        <f>IF(H104="","",ROUND(H104*(1+IF(I104="",0,I104)),2))</f>
        <v>54.97</v>
      </c>
      <c r="K104" s="185">
        <v>1</v>
      </c>
      <c r="L104" s="285"/>
    </row>
    <row r="105" spans="1:12" x14ac:dyDescent="0.2">
      <c r="A105" s="298" t="s">
        <v>140</v>
      </c>
      <c r="B105" s="299" t="s">
        <v>597</v>
      </c>
      <c r="C105" s="300" t="s">
        <v>598</v>
      </c>
      <c r="D105" s="301" t="s">
        <v>599</v>
      </c>
      <c r="E105" s="302" t="s">
        <v>600</v>
      </c>
      <c r="F105" s="299" t="s">
        <v>601</v>
      </c>
      <c r="G105" s="303">
        <f>IF(H105="","",ROUND(H105/$C$3,2))</f>
        <v>162.91</v>
      </c>
      <c r="H105" s="304">
        <v>3434.05</v>
      </c>
      <c r="I105" s="305"/>
      <c r="J105" s="306">
        <f>IF(H105="","",ROUND(H105*(1+IF(I105="",0,I105)),2))</f>
        <v>3434.05</v>
      </c>
      <c r="K105" s="307">
        <v>2</v>
      </c>
      <c r="L105" s="308"/>
    </row>
    <row r="106" spans="1:12" x14ac:dyDescent="0.2">
      <c r="A106" s="199" t="s">
        <v>140</v>
      </c>
      <c r="B106" s="171" t="s">
        <v>140</v>
      </c>
      <c r="C106" s="213" t="s">
        <v>602</v>
      </c>
      <c r="D106" s="227" t="s">
        <v>603</v>
      </c>
      <c r="E106" s="157" t="s">
        <v>604</v>
      </c>
      <c r="F106" s="171" t="s">
        <v>37</v>
      </c>
      <c r="G106" s="241">
        <f>IF(H106="","",ROUND(H106/$C$3,2))</f>
        <v>0.04</v>
      </c>
      <c r="H106" s="255">
        <v>0.82</v>
      </c>
      <c r="I106" s="269"/>
      <c r="J106" s="282">
        <f>IF(H106="","",ROUND(H106*(1+IF(I106="",0,I106)),2))</f>
        <v>0.82</v>
      </c>
      <c r="K106" s="185">
        <v>1</v>
      </c>
      <c r="L106" s="285"/>
    </row>
    <row r="107" spans="1:12" x14ac:dyDescent="0.2">
      <c r="A107" s="298" t="s">
        <v>140</v>
      </c>
      <c r="B107" s="299" t="s">
        <v>140</v>
      </c>
      <c r="C107" s="300" t="s">
        <v>605</v>
      </c>
      <c r="D107" s="301" t="s">
        <v>606</v>
      </c>
      <c r="E107" s="302" t="s">
        <v>607</v>
      </c>
      <c r="F107" s="299" t="s">
        <v>37</v>
      </c>
      <c r="G107" s="303">
        <f>IF(H107="","",ROUND(H107/$C$3,2))</f>
        <v>0.35</v>
      </c>
      <c r="H107" s="304">
        <v>7.44</v>
      </c>
      <c r="I107" s="305"/>
      <c r="J107" s="306">
        <f>IF(H107="","",ROUND(H107*(1+IF(I107="",0,I107)),2))</f>
        <v>7.44</v>
      </c>
      <c r="K107" s="307">
        <v>1</v>
      </c>
      <c r="L107" s="308"/>
    </row>
    <row r="108" spans="1:12" x14ac:dyDescent="0.2">
      <c r="A108" s="199" t="s">
        <v>140</v>
      </c>
      <c r="B108" s="171" t="s">
        <v>140</v>
      </c>
      <c r="C108" s="213" t="s">
        <v>608</v>
      </c>
      <c r="D108" s="227" t="s">
        <v>609</v>
      </c>
      <c r="E108" s="157" t="s">
        <v>610</v>
      </c>
      <c r="F108" s="171" t="s">
        <v>37</v>
      </c>
      <c r="G108" s="241">
        <f>IF(H108="","",ROUND(H108/$C$3,2))</f>
        <v>0.38</v>
      </c>
      <c r="H108" s="255">
        <v>7.98</v>
      </c>
      <c r="I108" s="269"/>
      <c r="J108" s="282">
        <f>IF(H108="","",ROUND(H108*(1+IF(I108="",0,I108)),2))</f>
        <v>7.98</v>
      </c>
      <c r="K108" s="185">
        <v>1</v>
      </c>
      <c r="L108" s="285"/>
    </row>
    <row r="109" spans="1:12" x14ac:dyDescent="0.2">
      <c r="A109" s="298" t="s">
        <v>140</v>
      </c>
      <c r="B109" s="299" t="s">
        <v>140</v>
      </c>
      <c r="C109" s="300" t="s">
        <v>611</v>
      </c>
      <c r="D109" s="301" t="s">
        <v>612</v>
      </c>
      <c r="E109" s="302" t="s">
        <v>613</v>
      </c>
      <c r="F109" s="299" t="s">
        <v>37</v>
      </c>
      <c r="G109" s="303">
        <f>IF(H109="","",ROUND(H109/$C$3,2))</f>
        <v>4.2699999999999996</v>
      </c>
      <c r="H109" s="304">
        <v>90</v>
      </c>
      <c r="I109" s="305"/>
      <c r="J109" s="306">
        <f>IF(H109="","",ROUND(H109*(1+IF(I109="",0,I109)),2))</f>
        <v>90</v>
      </c>
      <c r="K109" s="307">
        <v>1</v>
      </c>
      <c r="L109" s="308"/>
    </row>
    <row r="110" spans="1:12" x14ac:dyDescent="0.2">
      <c r="A110" s="199" t="s">
        <v>140</v>
      </c>
      <c r="B110" s="171" t="s">
        <v>140</v>
      </c>
      <c r="C110" s="213" t="s">
        <v>614</v>
      </c>
      <c r="D110" s="227" t="s">
        <v>615</v>
      </c>
      <c r="E110" s="157" t="s">
        <v>616</v>
      </c>
      <c r="F110" s="171" t="s">
        <v>37</v>
      </c>
      <c r="G110" s="241">
        <f>IF(H110="","",ROUND(H110/$C$3,2))</f>
        <v>4.84</v>
      </c>
      <c r="H110" s="255">
        <v>102</v>
      </c>
      <c r="I110" s="269"/>
      <c r="J110" s="282">
        <f>IF(H110="","",ROUND(H110*(1+IF(I110="",0,I110)),2))</f>
        <v>102</v>
      </c>
      <c r="K110" s="185">
        <v>1</v>
      </c>
      <c r="L110" s="285"/>
    </row>
    <row r="111" spans="1:12" x14ac:dyDescent="0.2">
      <c r="A111" s="298" t="s">
        <v>140</v>
      </c>
      <c r="B111" s="299" t="s">
        <v>617</v>
      </c>
      <c r="C111" s="300" t="s">
        <v>618</v>
      </c>
      <c r="D111" s="301" t="s">
        <v>619</v>
      </c>
      <c r="E111" s="302" t="s">
        <v>620</v>
      </c>
      <c r="F111" s="299" t="s">
        <v>37</v>
      </c>
      <c r="G111" s="303">
        <f>IF(H111="","",ROUND(H111/$C$3,2))</f>
        <v>0.01</v>
      </c>
      <c r="H111" s="304">
        <v>0.21</v>
      </c>
      <c r="I111" s="305"/>
      <c r="J111" s="306">
        <f>IF(H111="","",ROUND(H111*(1+IF(I111="",0,I111)),2))</f>
        <v>0.21</v>
      </c>
      <c r="K111" s="307">
        <v>1</v>
      </c>
      <c r="L111" s="308"/>
    </row>
    <row r="112" spans="1:12" x14ac:dyDescent="0.2">
      <c r="A112" s="199" t="s">
        <v>140</v>
      </c>
      <c r="B112" s="171" t="s">
        <v>621</v>
      </c>
      <c r="C112" s="213" t="s">
        <v>622</v>
      </c>
      <c r="D112" s="227" t="s">
        <v>623</v>
      </c>
      <c r="E112" s="157" t="s">
        <v>624</v>
      </c>
      <c r="F112" s="171" t="s">
        <v>625</v>
      </c>
      <c r="G112" s="241">
        <f>IF(H112="","",ROUND(H112/$C$3,2))</f>
        <v>0.19</v>
      </c>
      <c r="H112" s="255">
        <v>3.95</v>
      </c>
      <c r="I112" s="269"/>
      <c r="J112" s="282">
        <f>IF(H112="","",ROUND(H112*(1+IF(I112="",0,I112)),2))</f>
        <v>3.95</v>
      </c>
      <c r="K112" s="185">
        <v>2</v>
      </c>
      <c r="L112" s="285"/>
    </row>
    <row r="113" spans="1:12" x14ac:dyDescent="0.2">
      <c r="A113" s="298" t="s">
        <v>140</v>
      </c>
      <c r="B113" s="299" t="s">
        <v>621</v>
      </c>
      <c r="C113" s="300" t="s">
        <v>626</v>
      </c>
      <c r="D113" s="301" t="s">
        <v>627</v>
      </c>
      <c r="E113" s="302" t="s">
        <v>628</v>
      </c>
      <c r="F113" s="299" t="s">
        <v>625</v>
      </c>
      <c r="G113" s="303">
        <f>IF(H113="","",ROUND(H113/$C$3,2))</f>
        <v>0.21</v>
      </c>
      <c r="H113" s="304">
        <v>4.53</v>
      </c>
      <c r="I113" s="305"/>
      <c r="J113" s="306">
        <f>IF(H113="","",ROUND(H113*(1+IF(I113="",0,I113)),2))</f>
        <v>4.53</v>
      </c>
      <c r="K113" s="307">
        <v>2</v>
      </c>
      <c r="L113" s="308"/>
    </row>
    <row r="114" spans="1:12" x14ac:dyDescent="0.2">
      <c r="A114" s="199" t="s">
        <v>140</v>
      </c>
      <c r="B114" s="171" t="s">
        <v>621</v>
      </c>
      <c r="C114" s="213" t="s">
        <v>629</v>
      </c>
      <c r="D114" s="227" t="s">
        <v>630</v>
      </c>
      <c r="E114" s="157" t="s">
        <v>631</v>
      </c>
      <c r="F114" s="171" t="s">
        <v>625</v>
      </c>
      <c r="G114" s="241">
        <f>IF(H114="","",ROUND(H114/$C$3,2))</f>
        <v>1.66</v>
      </c>
      <c r="H114" s="255">
        <v>35</v>
      </c>
      <c r="I114" s="269"/>
      <c r="J114" s="282">
        <f>IF(H114="","",ROUND(H114*(1+IF(I114="",0,I114)),2))</f>
        <v>35</v>
      </c>
      <c r="K114" s="185">
        <v>1</v>
      </c>
      <c r="L114" s="285"/>
    </row>
    <row r="115" spans="1:12" x14ac:dyDescent="0.2">
      <c r="A115" s="298" t="s">
        <v>140</v>
      </c>
      <c r="B115" s="299" t="s">
        <v>621</v>
      </c>
      <c r="C115" s="300" t="s">
        <v>632</v>
      </c>
      <c r="D115" s="301" t="s">
        <v>633</v>
      </c>
      <c r="E115" s="302" t="s">
        <v>634</v>
      </c>
      <c r="F115" s="299" t="s">
        <v>625</v>
      </c>
      <c r="G115" s="303">
        <f>IF(H115="","",ROUND(H115/$C$3,2))</f>
        <v>1.42</v>
      </c>
      <c r="H115" s="304">
        <v>30</v>
      </c>
      <c r="I115" s="305"/>
      <c r="J115" s="306">
        <f>IF(H115="","",ROUND(H115*(1+IF(I115="",0,I115)),2))</f>
        <v>30</v>
      </c>
      <c r="K115" s="307">
        <v>1</v>
      </c>
      <c r="L115" s="308"/>
    </row>
    <row r="116" spans="1:12" x14ac:dyDescent="0.2">
      <c r="A116" s="199" t="s">
        <v>140</v>
      </c>
      <c r="B116" s="171" t="s">
        <v>621</v>
      </c>
      <c r="C116" s="213" t="s">
        <v>635</v>
      </c>
      <c r="D116" s="227" t="s">
        <v>636</v>
      </c>
      <c r="E116" s="157" t="s">
        <v>637</v>
      </c>
      <c r="F116" s="171" t="s">
        <v>37</v>
      </c>
      <c r="G116" s="241">
        <f>IF(H116="","",ROUND(H116/$C$3,2))</f>
        <v>0.19</v>
      </c>
      <c r="H116" s="255">
        <v>3.9</v>
      </c>
      <c r="I116" s="269"/>
      <c r="J116" s="282">
        <f>IF(H116="","",ROUND(H116*(1+IF(I116="",0,I116)),2))</f>
        <v>3.9</v>
      </c>
      <c r="K116" s="185">
        <v>1</v>
      </c>
      <c r="L116" s="285"/>
    </row>
    <row r="117" spans="1:12" x14ac:dyDescent="0.2">
      <c r="A117" s="298" t="s">
        <v>140</v>
      </c>
      <c r="B117" s="299" t="s">
        <v>621</v>
      </c>
      <c r="C117" s="300" t="s">
        <v>638</v>
      </c>
      <c r="D117" s="301" t="s">
        <v>639</v>
      </c>
      <c r="E117" s="302" t="s">
        <v>640</v>
      </c>
      <c r="F117" s="299" t="s">
        <v>37</v>
      </c>
      <c r="G117" s="303">
        <f>IF(H117="","",ROUND(H117/$C$3,2))</f>
        <v>0.23</v>
      </c>
      <c r="H117" s="304">
        <v>4.8</v>
      </c>
      <c r="I117" s="305"/>
      <c r="J117" s="306">
        <f>IF(H117="","",ROUND(H117*(1+IF(I117="",0,I117)),2))</f>
        <v>4.8</v>
      </c>
      <c r="K117" s="307">
        <v>1</v>
      </c>
      <c r="L117" s="308"/>
    </row>
    <row r="118" spans="1:12" x14ac:dyDescent="0.2">
      <c r="A118" s="199" t="s">
        <v>140</v>
      </c>
      <c r="B118" s="171" t="s">
        <v>621</v>
      </c>
      <c r="C118" s="213" t="s">
        <v>641</v>
      </c>
      <c r="D118" s="227" t="s">
        <v>642</v>
      </c>
      <c r="E118" s="157" t="s">
        <v>643</v>
      </c>
      <c r="F118" s="171" t="s">
        <v>37</v>
      </c>
      <c r="G118" s="241">
        <f>IF(H118="","",ROUND(H118/$C$3,2))</f>
        <v>0.08</v>
      </c>
      <c r="H118" s="255">
        <v>1.64</v>
      </c>
      <c r="I118" s="269"/>
      <c r="J118" s="282">
        <f>IF(H118="","",ROUND(H118*(1+IF(I118="",0,I118)),2))</f>
        <v>1.64</v>
      </c>
      <c r="K118" s="185">
        <v>1</v>
      </c>
      <c r="L118" s="285"/>
    </row>
    <row r="119" spans="1:12" x14ac:dyDescent="0.2">
      <c r="A119" s="298" t="s">
        <v>140</v>
      </c>
      <c r="B119" s="299" t="s">
        <v>621</v>
      </c>
      <c r="C119" s="300" t="s">
        <v>644</v>
      </c>
      <c r="D119" s="301" t="s">
        <v>645</v>
      </c>
      <c r="E119" s="302" t="s">
        <v>646</v>
      </c>
      <c r="F119" s="299" t="s">
        <v>37</v>
      </c>
      <c r="G119" s="303">
        <f>IF(H119="","",ROUND(H119/$C$3,2))</f>
        <v>7.0000000000000007E-2</v>
      </c>
      <c r="H119" s="304">
        <v>1.52</v>
      </c>
      <c r="I119" s="305"/>
      <c r="J119" s="306">
        <f>IF(H119="","",ROUND(H119*(1+IF(I119="",0,I119)),2))</f>
        <v>1.52</v>
      </c>
      <c r="K119" s="307">
        <v>1</v>
      </c>
      <c r="L119" s="308"/>
    </row>
    <row r="120" spans="1:12" x14ac:dyDescent="0.2">
      <c r="A120" s="199" t="s">
        <v>140</v>
      </c>
      <c r="B120" s="171" t="s">
        <v>647</v>
      </c>
      <c r="C120" s="213" t="s">
        <v>648</v>
      </c>
      <c r="D120" s="227" t="s">
        <v>649</v>
      </c>
      <c r="E120" s="157" t="s">
        <v>650</v>
      </c>
      <c r="F120" s="171" t="s">
        <v>37</v>
      </c>
      <c r="G120" s="241">
        <f>IF(H120="","",ROUND(H120/$C$3,2))</f>
        <v>15.7</v>
      </c>
      <c r="H120" s="255">
        <v>331.04</v>
      </c>
      <c r="I120" s="269"/>
      <c r="J120" s="282">
        <f>IF(H120="","",ROUND(H120*(1+IF(I120="",0,I120)),2))</f>
        <v>331.04</v>
      </c>
      <c r="K120" s="185">
        <v>1</v>
      </c>
      <c r="L120" s="285"/>
    </row>
    <row r="121" spans="1:12" x14ac:dyDescent="0.2">
      <c r="A121" s="199"/>
      <c r="B121" s="171"/>
      <c r="C121" s="213"/>
      <c r="D121" s="227"/>
      <c r="E121" s="157"/>
      <c r="F121" s="171"/>
      <c r="G121" s="241"/>
      <c r="H121" s="255"/>
      <c r="I121" s="269"/>
      <c r="J121" s="282"/>
      <c r="K121" s="185"/>
      <c r="L121" s="285"/>
    </row>
    <row r="122" spans="1:12" ht="22" customHeight="1" x14ac:dyDescent="0.2">
      <c r="A122" s="202" t="s">
        <v>651</v>
      </c>
      <c r="B122" s="174"/>
      <c r="C122" s="216"/>
      <c r="D122" s="230"/>
      <c r="E122" s="160"/>
      <c r="F122" s="174"/>
      <c r="G122" s="244"/>
      <c r="H122" s="258"/>
      <c r="I122" s="272"/>
      <c r="J122" s="244"/>
      <c r="K122" s="188"/>
      <c r="L122" s="288"/>
    </row>
    <row r="123" spans="1:12" x14ac:dyDescent="0.2">
      <c r="A123" s="298" t="s">
        <v>652</v>
      </c>
      <c r="B123" s="299" t="s">
        <v>653</v>
      </c>
      <c r="C123" s="300" t="s">
        <v>654</v>
      </c>
      <c r="D123" s="301" t="s">
        <v>655</v>
      </c>
      <c r="E123" s="302" t="s">
        <v>656</v>
      </c>
      <c r="F123" s="299" t="s">
        <v>37</v>
      </c>
      <c r="G123" s="303">
        <f>IF(H123="","",ROUND(H123/$C$3,2))</f>
        <v>0.69</v>
      </c>
      <c r="H123" s="304">
        <v>14.5</v>
      </c>
      <c r="I123" s="305"/>
      <c r="J123" s="306">
        <f>IF(H123="","",ROUND(H123*(1+IF(I123="",0,I123)),2))</f>
        <v>14.5</v>
      </c>
      <c r="K123" s="307">
        <v>1</v>
      </c>
      <c r="L123" s="308"/>
    </row>
    <row r="124" spans="1:12" x14ac:dyDescent="0.2">
      <c r="A124" s="199" t="s">
        <v>652</v>
      </c>
      <c r="B124" s="171" t="s">
        <v>657</v>
      </c>
      <c r="C124" s="213" t="s">
        <v>658</v>
      </c>
      <c r="D124" s="227" t="s">
        <v>659</v>
      </c>
      <c r="E124" s="157" t="s">
        <v>660</v>
      </c>
      <c r="F124" s="171" t="s">
        <v>661</v>
      </c>
      <c r="G124" s="241">
        <f>IF(H124="","",ROUND(H124/$C$3,2))</f>
        <v>0.28000000000000003</v>
      </c>
      <c r="H124" s="255">
        <v>5.85</v>
      </c>
      <c r="I124" s="269"/>
      <c r="J124" s="282">
        <f>IF(H124="","",ROUND(H124*(1+IF(I124="",0,I124)),2))</f>
        <v>5.85</v>
      </c>
      <c r="K124" s="185">
        <v>1</v>
      </c>
      <c r="L124" s="285"/>
    </row>
    <row r="125" spans="1:12" x14ac:dyDescent="0.2">
      <c r="A125" s="298" t="s">
        <v>652</v>
      </c>
      <c r="B125" s="299" t="s">
        <v>662</v>
      </c>
      <c r="C125" s="300" t="s">
        <v>663</v>
      </c>
      <c r="D125" s="301" t="s">
        <v>664</v>
      </c>
      <c r="E125" s="302" t="s">
        <v>665</v>
      </c>
      <c r="F125" s="299" t="s">
        <v>37</v>
      </c>
      <c r="G125" s="303">
        <f>IF(H125="","",ROUND(H125/$C$3,2))</f>
        <v>4.2300000000000004</v>
      </c>
      <c r="H125" s="304">
        <v>89.25</v>
      </c>
      <c r="I125" s="305"/>
      <c r="J125" s="306">
        <f>IF(H125="","",ROUND(H125*(1+IF(I125="",0,I125)),2))</f>
        <v>89.25</v>
      </c>
      <c r="K125" s="307">
        <v>2</v>
      </c>
      <c r="L125" s="308"/>
    </row>
    <row r="126" spans="1:12" x14ac:dyDescent="0.2">
      <c r="A126" s="199" t="s">
        <v>652</v>
      </c>
      <c r="B126" s="171" t="s">
        <v>666</v>
      </c>
      <c r="C126" s="213" t="s">
        <v>667</v>
      </c>
      <c r="D126" s="227" t="s">
        <v>668</v>
      </c>
      <c r="E126" s="157" t="s">
        <v>669</v>
      </c>
      <c r="F126" s="171" t="s">
        <v>37</v>
      </c>
      <c r="G126" s="241">
        <f>IF(H126="","",ROUND(H126/$C$3,2))</f>
        <v>0.66</v>
      </c>
      <c r="H126" s="255">
        <v>14</v>
      </c>
      <c r="I126" s="269"/>
      <c r="J126" s="282">
        <f>IF(H126="","",ROUND(H126*(1+IF(I126="",0,I126)),2))</f>
        <v>14</v>
      </c>
      <c r="K126" s="185">
        <v>1</v>
      </c>
      <c r="L126" s="285"/>
    </row>
    <row r="127" spans="1:12" x14ac:dyDescent="0.2">
      <c r="A127" s="298" t="s">
        <v>652</v>
      </c>
      <c r="B127" s="299" t="s">
        <v>666</v>
      </c>
      <c r="C127" s="300" t="s">
        <v>670</v>
      </c>
      <c r="D127" s="301" t="s">
        <v>671</v>
      </c>
      <c r="E127" s="302" t="s">
        <v>672</v>
      </c>
      <c r="F127" s="299" t="s">
        <v>37</v>
      </c>
      <c r="G127" s="303">
        <f>IF(H127="","",ROUND(H127/$C$3,2))</f>
        <v>3.59</v>
      </c>
      <c r="H127" s="304">
        <v>75.650000000000006</v>
      </c>
      <c r="I127" s="305"/>
      <c r="J127" s="306">
        <f>IF(H127="","",ROUND(H127*(1+IF(I127="",0,I127)),2))</f>
        <v>75.650000000000006</v>
      </c>
      <c r="K127" s="307">
        <v>1</v>
      </c>
      <c r="L127" s="308"/>
    </row>
    <row r="128" spans="1:12" x14ac:dyDescent="0.2">
      <c r="A128" s="199" t="s">
        <v>652</v>
      </c>
      <c r="B128" s="171" t="s">
        <v>673</v>
      </c>
      <c r="C128" s="213" t="s">
        <v>674</v>
      </c>
      <c r="D128" s="227" t="s">
        <v>675</v>
      </c>
      <c r="E128" s="157" t="s">
        <v>676</v>
      </c>
      <c r="F128" s="171" t="s">
        <v>37</v>
      </c>
      <c r="G128" s="241">
        <f>IF(H128="","",ROUND(H128/$C$3,2))</f>
        <v>35.1</v>
      </c>
      <c r="H128" s="255">
        <v>739.94</v>
      </c>
      <c r="I128" s="269"/>
      <c r="J128" s="282">
        <f>IF(H128="","",ROUND(H128*(1+IF(I128="",0,I128)),2))</f>
        <v>739.94</v>
      </c>
      <c r="K128" s="185">
        <v>1</v>
      </c>
      <c r="L128" s="285"/>
    </row>
    <row r="129" spans="1:12" x14ac:dyDescent="0.2">
      <c r="A129" s="298" t="s">
        <v>652</v>
      </c>
      <c r="B129" s="299" t="s">
        <v>673</v>
      </c>
      <c r="C129" s="300" t="s">
        <v>677</v>
      </c>
      <c r="D129" s="301" t="s">
        <v>678</v>
      </c>
      <c r="E129" s="302" t="s">
        <v>679</v>
      </c>
      <c r="F129" s="299" t="s">
        <v>37</v>
      </c>
      <c r="G129" s="303">
        <f>IF(H129="","",ROUND(H129/$C$3,2))</f>
        <v>45.58</v>
      </c>
      <c r="H129" s="304">
        <v>960.76</v>
      </c>
      <c r="I129" s="305"/>
      <c r="J129" s="306">
        <f>IF(H129="","",ROUND(H129*(1+IF(I129="",0,I129)),2))</f>
        <v>960.76</v>
      </c>
      <c r="K129" s="307">
        <v>1</v>
      </c>
      <c r="L129" s="308"/>
    </row>
    <row r="130" spans="1:12" x14ac:dyDescent="0.2">
      <c r="A130" s="199" t="s">
        <v>652</v>
      </c>
      <c r="B130" s="171" t="s">
        <v>680</v>
      </c>
      <c r="C130" s="213" t="s">
        <v>681</v>
      </c>
      <c r="D130" s="227" t="s">
        <v>682</v>
      </c>
      <c r="E130" s="157" t="s">
        <v>683</v>
      </c>
      <c r="F130" s="171" t="s">
        <v>661</v>
      </c>
      <c r="G130" s="241">
        <f>IF(H130="","",ROUND(H130/$C$3,2))</f>
        <v>3.41</v>
      </c>
      <c r="H130" s="255">
        <v>71.819999999999993</v>
      </c>
      <c r="I130" s="269"/>
      <c r="J130" s="282">
        <f>IF(H130="","",ROUND(H130*(1+IF(I130="",0,I130)),2))</f>
        <v>71.819999999999993</v>
      </c>
      <c r="K130" s="185">
        <v>1</v>
      </c>
      <c r="L130" s="285"/>
    </row>
    <row r="131" spans="1:12" x14ac:dyDescent="0.2">
      <c r="A131" s="298" t="s">
        <v>652</v>
      </c>
      <c r="B131" s="299" t="s">
        <v>684</v>
      </c>
      <c r="C131" s="300" t="s">
        <v>685</v>
      </c>
      <c r="D131" s="301" t="s">
        <v>686</v>
      </c>
      <c r="E131" s="302" t="s">
        <v>687</v>
      </c>
      <c r="F131" s="299" t="s">
        <v>37</v>
      </c>
      <c r="G131" s="303">
        <f>IF(H131="","",ROUND(H131/$C$3,2))</f>
        <v>4.8099999999999996</v>
      </c>
      <c r="H131" s="304">
        <v>101.45</v>
      </c>
      <c r="I131" s="305"/>
      <c r="J131" s="306">
        <f>IF(H131="","",ROUND(H131*(1+IF(I131="",0,I131)),2))</f>
        <v>101.45</v>
      </c>
      <c r="K131" s="307">
        <v>2</v>
      </c>
      <c r="L131" s="308"/>
    </row>
    <row r="132" spans="1:12" x14ac:dyDescent="0.2">
      <c r="A132" s="199" t="s">
        <v>652</v>
      </c>
      <c r="B132" s="171" t="s">
        <v>684</v>
      </c>
      <c r="C132" s="213" t="s">
        <v>688</v>
      </c>
      <c r="D132" s="227" t="s">
        <v>689</v>
      </c>
      <c r="E132" s="157" t="s">
        <v>690</v>
      </c>
      <c r="F132" s="171" t="s">
        <v>37</v>
      </c>
      <c r="G132" s="241">
        <f>IF(H132="","",ROUND(H132/$C$3,2))</f>
        <v>3.12</v>
      </c>
      <c r="H132" s="255">
        <v>65.81</v>
      </c>
      <c r="I132" s="269"/>
      <c r="J132" s="282">
        <f>IF(H132="","",ROUND(H132*(1+IF(I132="",0,I132)),2))</f>
        <v>65.81</v>
      </c>
      <c r="K132" s="185">
        <v>2</v>
      </c>
      <c r="L132" s="285"/>
    </row>
    <row r="133" spans="1:12" x14ac:dyDescent="0.2">
      <c r="A133" s="298" t="s">
        <v>652</v>
      </c>
      <c r="B133" s="299" t="s">
        <v>684</v>
      </c>
      <c r="C133" s="300" t="s">
        <v>691</v>
      </c>
      <c r="D133" s="301" t="s">
        <v>692</v>
      </c>
      <c r="E133" s="302" t="s">
        <v>693</v>
      </c>
      <c r="F133" s="299" t="s">
        <v>37</v>
      </c>
      <c r="G133" s="303">
        <f>IF(H133="","",ROUND(H133/$C$3,2))</f>
        <v>2.54</v>
      </c>
      <c r="H133" s="304">
        <v>53.48</v>
      </c>
      <c r="I133" s="305"/>
      <c r="J133" s="306">
        <f>IF(H133="","",ROUND(H133*(1+IF(I133="",0,I133)),2))</f>
        <v>53.48</v>
      </c>
      <c r="K133" s="307">
        <v>2</v>
      </c>
      <c r="L133" s="308"/>
    </row>
    <row r="134" spans="1:12" x14ac:dyDescent="0.2">
      <c r="A134" s="199" t="s">
        <v>652</v>
      </c>
      <c r="B134" s="171" t="s">
        <v>684</v>
      </c>
      <c r="C134" s="213" t="s">
        <v>694</v>
      </c>
      <c r="D134" s="227" t="s">
        <v>695</v>
      </c>
      <c r="E134" s="157" t="s">
        <v>696</v>
      </c>
      <c r="F134" s="171" t="s">
        <v>37</v>
      </c>
      <c r="G134" s="241">
        <f>IF(H134="","",ROUND(H134/$C$3,2))</f>
        <v>2.65</v>
      </c>
      <c r="H134" s="255">
        <v>55.84</v>
      </c>
      <c r="I134" s="269"/>
      <c r="J134" s="282">
        <f>IF(H134="","",ROUND(H134*(1+IF(I134="",0,I134)),2))</f>
        <v>55.84</v>
      </c>
      <c r="K134" s="185">
        <v>2</v>
      </c>
      <c r="L134" s="285"/>
    </row>
    <row r="135" spans="1:12" x14ac:dyDescent="0.2">
      <c r="A135" s="298" t="s">
        <v>652</v>
      </c>
      <c r="B135" s="299" t="s">
        <v>684</v>
      </c>
      <c r="C135" s="300" t="s">
        <v>697</v>
      </c>
      <c r="D135" s="301" t="s">
        <v>698</v>
      </c>
      <c r="E135" s="302" t="s">
        <v>699</v>
      </c>
      <c r="F135" s="299" t="s">
        <v>37</v>
      </c>
      <c r="G135" s="303">
        <f>IF(H135="","",ROUND(H135/$C$3,2))</f>
        <v>0.47</v>
      </c>
      <c r="H135" s="304">
        <v>10.01</v>
      </c>
      <c r="I135" s="305"/>
      <c r="J135" s="306">
        <f>IF(H135="","",ROUND(H135*(1+IF(I135="",0,I135)),2))</f>
        <v>10.01</v>
      </c>
      <c r="K135" s="307">
        <v>2</v>
      </c>
      <c r="L135" s="308"/>
    </row>
    <row r="136" spans="1:12" x14ac:dyDescent="0.2">
      <c r="A136" s="199" t="s">
        <v>652</v>
      </c>
      <c r="B136" s="171" t="s">
        <v>684</v>
      </c>
      <c r="C136" s="213" t="s">
        <v>700</v>
      </c>
      <c r="D136" s="227" t="s">
        <v>701</v>
      </c>
      <c r="E136" s="157" t="s">
        <v>702</v>
      </c>
      <c r="F136" s="171" t="s">
        <v>37</v>
      </c>
      <c r="G136" s="241">
        <f>IF(H136="","",ROUND(H136/$C$3,2))</f>
        <v>4.82</v>
      </c>
      <c r="H136" s="255">
        <v>101.71</v>
      </c>
      <c r="I136" s="269"/>
      <c r="J136" s="282">
        <f>IF(H136="","",ROUND(H136*(1+IF(I136="",0,I136)),2))</f>
        <v>101.71</v>
      </c>
      <c r="K136" s="185">
        <v>2</v>
      </c>
      <c r="L136" s="285"/>
    </row>
    <row r="137" spans="1:12" x14ac:dyDescent="0.2">
      <c r="A137" s="298" t="s">
        <v>652</v>
      </c>
      <c r="B137" s="299" t="s">
        <v>703</v>
      </c>
      <c r="C137" s="300" t="s">
        <v>704</v>
      </c>
      <c r="D137" s="301" t="s">
        <v>705</v>
      </c>
      <c r="E137" s="302" t="s">
        <v>706</v>
      </c>
      <c r="F137" s="299" t="s">
        <v>37</v>
      </c>
      <c r="G137" s="303">
        <f>IF(H137="","",ROUND(H137/$C$3,2))</f>
        <v>47.82</v>
      </c>
      <c r="H137" s="304">
        <v>1008</v>
      </c>
      <c r="I137" s="305"/>
      <c r="J137" s="306">
        <f>IF(H137="","",ROUND(H137*(1+IF(I137="",0,I137)),2))</f>
        <v>1008</v>
      </c>
      <c r="K137" s="307">
        <v>1</v>
      </c>
      <c r="L137" s="308"/>
    </row>
    <row r="138" spans="1:12" x14ac:dyDescent="0.2">
      <c r="A138" s="199"/>
      <c r="B138" s="171"/>
      <c r="C138" s="213"/>
      <c r="D138" s="227"/>
      <c r="E138" s="157"/>
      <c r="F138" s="171"/>
      <c r="G138" s="241"/>
      <c r="H138" s="255"/>
      <c r="I138" s="269"/>
      <c r="J138" s="282"/>
      <c r="K138" s="185"/>
      <c r="L138" s="285"/>
    </row>
    <row r="139" spans="1:12" ht="22" customHeight="1" x14ac:dyDescent="0.2">
      <c r="A139" s="203" t="s">
        <v>707</v>
      </c>
      <c r="B139" s="175"/>
      <c r="C139" s="217"/>
      <c r="D139" s="231"/>
      <c r="E139" s="161"/>
      <c r="F139" s="175"/>
      <c r="G139" s="245"/>
      <c r="H139" s="259"/>
      <c r="I139" s="273"/>
      <c r="J139" s="245"/>
      <c r="K139" s="189"/>
      <c r="L139" s="289"/>
    </row>
    <row r="140" spans="1:12" x14ac:dyDescent="0.2">
      <c r="A140" s="298" t="s">
        <v>708</v>
      </c>
      <c r="B140" s="299" t="s">
        <v>709</v>
      </c>
      <c r="C140" s="300" t="s">
        <v>710</v>
      </c>
      <c r="D140" s="301" t="s">
        <v>711</v>
      </c>
      <c r="E140" s="302" t="s">
        <v>712</v>
      </c>
      <c r="F140" s="299" t="s">
        <v>713</v>
      </c>
      <c r="G140" s="303">
        <f>IF(H140="","",ROUND(H140/$C$3,2))</f>
        <v>1.1000000000000001</v>
      </c>
      <c r="H140" s="304">
        <v>23.2</v>
      </c>
      <c r="I140" s="305"/>
      <c r="J140" s="306">
        <f>IF(H140="","",ROUND(H140*(1+IF(I140="",0,I140)),2))</f>
        <v>23.2</v>
      </c>
      <c r="K140" s="307">
        <v>2</v>
      </c>
      <c r="L140" s="308"/>
    </row>
    <row r="141" spans="1:12" x14ac:dyDescent="0.2">
      <c r="A141" s="199" t="s">
        <v>708</v>
      </c>
      <c r="B141" s="171" t="s">
        <v>709</v>
      </c>
      <c r="C141" s="213" t="s">
        <v>714</v>
      </c>
      <c r="D141" s="227" t="s">
        <v>715</v>
      </c>
      <c r="E141" s="157" t="s">
        <v>716</v>
      </c>
      <c r="F141" s="171" t="s">
        <v>713</v>
      </c>
      <c r="G141" s="241">
        <f>IF(H141="","",ROUND(H141/$C$3,2))</f>
        <v>1.66</v>
      </c>
      <c r="H141" s="255">
        <v>35</v>
      </c>
      <c r="I141" s="269"/>
      <c r="J141" s="282">
        <f>IF(H141="","",ROUND(H141*(1+IF(I141="",0,I141)),2))</f>
        <v>35</v>
      </c>
      <c r="K141" s="185">
        <v>2</v>
      </c>
      <c r="L141" s="285"/>
    </row>
    <row r="142" spans="1:12" x14ac:dyDescent="0.2">
      <c r="A142" s="298" t="s">
        <v>708</v>
      </c>
      <c r="B142" s="299" t="s">
        <v>709</v>
      </c>
      <c r="C142" s="300" t="s">
        <v>717</v>
      </c>
      <c r="D142" s="301" t="s">
        <v>718</v>
      </c>
      <c r="E142" s="302" t="s">
        <v>719</v>
      </c>
      <c r="F142" s="299" t="s">
        <v>713</v>
      </c>
      <c r="G142" s="303">
        <f>IF(H142="","",ROUND(H142/$C$3,2))</f>
        <v>2.75</v>
      </c>
      <c r="H142" s="304">
        <v>58</v>
      </c>
      <c r="I142" s="305"/>
      <c r="J142" s="306">
        <f>IF(H142="","",ROUND(H142*(1+IF(I142="",0,I142)),2))</f>
        <v>58</v>
      </c>
      <c r="K142" s="307">
        <v>2</v>
      </c>
      <c r="L142" s="308"/>
    </row>
    <row r="143" spans="1:12" x14ac:dyDescent="0.2">
      <c r="A143" s="199" t="s">
        <v>708</v>
      </c>
      <c r="B143" s="171" t="s">
        <v>709</v>
      </c>
      <c r="C143" s="213" t="s">
        <v>720</v>
      </c>
      <c r="D143" s="227" t="s">
        <v>721</v>
      </c>
      <c r="E143" s="157" t="s">
        <v>722</v>
      </c>
      <c r="F143" s="171" t="s">
        <v>137</v>
      </c>
      <c r="G143" s="241">
        <f>IF(H143="","",ROUND(H143/$C$3,2))</f>
        <v>26.9</v>
      </c>
      <c r="H143" s="255">
        <v>567</v>
      </c>
      <c r="I143" s="269"/>
      <c r="J143" s="282">
        <f>IF(H143="","",ROUND(H143*(1+IF(I143="",0,I143)),2))</f>
        <v>567</v>
      </c>
      <c r="K143" s="185">
        <v>2</v>
      </c>
      <c r="L143" s="285"/>
    </row>
    <row r="144" spans="1:12" x14ac:dyDescent="0.2">
      <c r="A144" s="298" t="s">
        <v>708</v>
      </c>
      <c r="B144" s="299" t="s">
        <v>709</v>
      </c>
      <c r="C144" s="300" t="s">
        <v>723</v>
      </c>
      <c r="D144" s="301" t="s">
        <v>724</v>
      </c>
      <c r="E144" s="302" t="s">
        <v>725</v>
      </c>
      <c r="F144" s="299" t="s">
        <v>137</v>
      </c>
      <c r="G144" s="303">
        <f>IF(H144="","",ROUND(H144/$C$3,2))</f>
        <v>41.41</v>
      </c>
      <c r="H144" s="304">
        <v>873</v>
      </c>
      <c r="I144" s="305"/>
      <c r="J144" s="306">
        <f>IF(H144="","",ROUND(H144*(1+IF(I144="",0,I144)),2))</f>
        <v>873</v>
      </c>
      <c r="K144" s="307">
        <v>2</v>
      </c>
      <c r="L144" s="308"/>
    </row>
    <row r="145" spans="1:12" x14ac:dyDescent="0.2">
      <c r="A145" s="199" t="s">
        <v>708</v>
      </c>
      <c r="B145" s="171" t="s">
        <v>709</v>
      </c>
      <c r="C145" s="213" t="s">
        <v>726</v>
      </c>
      <c r="D145" s="227" t="s">
        <v>727</v>
      </c>
      <c r="E145" s="157" t="s">
        <v>728</v>
      </c>
      <c r="F145" s="171" t="s">
        <v>137</v>
      </c>
      <c r="G145" s="241">
        <f>IF(H145="","",ROUND(H145/$C$3,2))</f>
        <v>70.87</v>
      </c>
      <c r="H145" s="255">
        <v>1494</v>
      </c>
      <c r="I145" s="269"/>
      <c r="J145" s="282">
        <f>IF(H145="","",ROUND(H145*(1+IF(I145="",0,I145)),2))</f>
        <v>1494</v>
      </c>
      <c r="K145" s="185">
        <v>2</v>
      </c>
      <c r="L145" s="285"/>
    </row>
    <row r="146" spans="1:12" x14ac:dyDescent="0.2">
      <c r="A146" s="298" t="s">
        <v>708</v>
      </c>
      <c r="B146" s="299" t="s">
        <v>709</v>
      </c>
      <c r="C146" s="300" t="s">
        <v>729</v>
      </c>
      <c r="D146" s="301" t="s">
        <v>730</v>
      </c>
      <c r="E146" s="302" t="s">
        <v>731</v>
      </c>
      <c r="F146" s="299" t="s">
        <v>137</v>
      </c>
      <c r="G146" s="303">
        <f>IF(H146="","",ROUND(H146/$C$3,2))</f>
        <v>9.89</v>
      </c>
      <c r="H146" s="304">
        <v>208.54</v>
      </c>
      <c r="I146" s="305"/>
      <c r="J146" s="306">
        <f>IF(H146="","",ROUND(H146*(1+IF(I146="",0,I146)),2))</f>
        <v>208.54</v>
      </c>
      <c r="K146" s="307">
        <v>1</v>
      </c>
      <c r="L146" s="308"/>
    </row>
    <row r="147" spans="1:12" x14ac:dyDescent="0.2">
      <c r="A147" s="199" t="s">
        <v>708</v>
      </c>
      <c r="B147" s="171" t="s">
        <v>709</v>
      </c>
      <c r="C147" s="213" t="s">
        <v>732</v>
      </c>
      <c r="D147" s="227" t="s">
        <v>733</v>
      </c>
      <c r="E147" s="157" t="s">
        <v>734</v>
      </c>
      <c r="F147" s="171" t="s">
        <v>137</v>
      </c>
      <c r="G147" s="241">
        <f>IF(H147="","",ROUND(H147/$C$3,2))</f>
        <v>13.1</v>
      </c>
      <c r="H147" s="255">
        <v>276.23</v>
      </c>
      <c r="I147" s="269"/>
      <c r="J147" s="282">
        <f>IF(H147="","",ROUND(H147*(1+IF(I147="",0,I147)),2))</f>
        <v>276.23</v>
      </c>
      <c r="K147" s="185">
        <v>2</v>
      </c>
      <c r="L147" s="285"/>
    </row>
    <row r="148" spans="1:12" x14ac:dyDescent="0.2">
      <c r="A148" s="298" t="s">
        <v>708</v>
      </c>
      <c r="B148" s="299" t="s">
        <v>709</v>
      </c>
      <c r="C148" s="300" t="s">
        <v>735</v>
      </c>
      <c r="D148" s="301" t="s">
        <v>736</v>
      </c>
      <c r="E148" s="302" t="s">
        <v>737</v>
      </c>
      <c r="F148" s="299" t="s">
        <v>137</v>
      </c>
      <c r="G148" s="303">
        <f>IF(H148="","",ROUND(H148/$C$3,2))</f>
        <v>30.55</v>
      </c>
      <c r="H148" s="304">
        <v>644</v>
      </c>
      <c r="I148" s="305"/>
      <c r="J148" s="306">
        <f>IF(H148="","",ROUND(H148*(1+IF(I148="",0,I148)),2))</f>
        <v>644</v>
      </c>
      <c r="K148" s="307">
        <v>2</v>
      </c>
      <c r="L148" s="308"/>
    </row>
    <row r="149" spans="1:12" x14ac:dyDescent="0.2">
      <c r="A149" s="199" t="s">
        <v>708</v>
      </c>
      <c r="B149" s="171" t="s">
        <v>709</v>
      </c>
      <c r="C149" s="213" t="s">
        <v>738</v>
      </c>
      <c r="D149" s="227" t="s">
        <v>739</v>
      </c>
      <c r="E149" s="157" t="s">
        <v>740</v>
      </c>
      <c r="F149" s="171" t="s">
        <v>137</v>
      </c>
      <c r="G149" s="241">
        <f>IF(H149="","",ROUND(H149/$C$3,2))</f>
        <v>49.29</v>
      </c>
      <c r="H149" s="255">
        <v>1039</v>
      </c>
      <c r="I149" s="269"/>
      <c r="J149" s="282">
        <f>IF(H149="","",ROUND(H149*(1+IF(I149="",0,I149)),2))</f>
        <v>1039</v>
      </c>
      <c r="K149" s="185">
        <v>2</v>
      </c>
      <c r="L149" s="285"/>
    </row>
    <row r="150" spans="1:12" x14ac:dyDescent="0.2">
      <c r="A150" s="298" t="s">
        <v>708</v>
      </c>
      <c r="B150" s="299" t="s">
        <v>709</v>
      </c>
      <c r="C150" s="300" t="s">
        <v>741</v>
      </c>
      <c r="D150" s="301" t="s">
        <v>742</v>
      </c>
      <c r="E150" s="302" t="s">
        <v>743</v>
      </c>
      <c r="F150" s="299" t="s">
        <v>137</v>
      </c>
      <c r="G150" s="303">
        <f>IF(H150="","",ROUND(H150/$C$3,2))</f>
        <v>93.74</v>
      </c>
      <c r="H150" s="304">
        <v>1976</v>
      </c>
      <c r="I150" s="305"/>
      <c r="J150" s="306">
        <f>IF(H150="","",ROUND(H150*(1+IF(I150="",0,I150)),2))</f>
        <v>1976</v>
      </c>
      <c r="K150" s="307">
        <v>2</v>
      </c>
      <c r="L150" s="308"/>
    </row>
    <row r="151" spans="1:12" x14ac:dyDescent="0.2">
      <c r="A151" s="199" t="s">
        <v>708</v>
      </c>
      <c r="B151" s="171" t="s">
        <v>708</v>
      </c>
      <c r="C151" s="213" t="s">
        <v>744</v>
      </c>
      <c r="D151" s="227" t="s">
        <v>745</v>
      </c>
      <c r="E151" s="157" t="s">
        <v>746</v>
      </c>
      <c r="F151" s="171" t="s">
        <v>137</v>
      </c>
      <c r="G151" s="241">
        <f>IF(H151="","",ROUND(H151/$C$3,2))</f>
        <v>21.37</v>
      </c>
      <c r="H151" s="255">
        <v>450.42</v>
      </c>
      <c r="I151" s="269"/>
      <c r="J151" s="282">
        <f>IF(H151="","",ROUND(H151*(1+IF(I151="",0,I151)),2))</f>
        <v>450.42</v>
      </c>
      <c r="K151" s="185">
        <v>1</v>
      </c>
      <c r="L151" s="285"/>
    </row>
    <row r="152" spans="1:12" x14ac:dyDescent="0.2">
      <c r="A152" s="199"/>
      <c r="B152" s="171"/>
      <c r="C152" s="213"/>
      <c r="D152" s="227"/>
      <c r="E152" s="157"/>
      <c r="F152" s="171"/>
      <c r="G152" s="241"/>
      <c r="H152" s="255"/>
      <c r="I152" s="269"/>
      <c r="J152" s="282"/>
      <c r="K152" s="185"/>
      <c r="L152" s="285"/>
    </row>
    <row r="153" spans="1:12" ht="22" customHeight="1" x14ac:dyDescent="0.2">
      <c r="A153" s="204" t="s">
        <v>747</v>
      </c>
      <c r="B153" s="176"/>
      <c r="C153" s="218"/>
      <c r="D153" s="232"/>
      <c r="E153" s="162"/>
      <c r="F153" s="176"/>
      <c r="G153" s="246"/>
      <c r="H153" s="260"/>
      <c r="I153" s="274"/>
      <c r="J153" s="246"/>
      <c r="K153" s="190"/>
      <c r="L153" s="290"/>
    </row>
    <row r="154" spans="1:12" x14ac:dyDescent="0.2">
      <c r="A154" s="298" t="s">
        <v>748</v>
      </c>
      <c r="B154" s="299" t="s">
        <v>748</v>
      </c>
      <c r="C154" s="300" t="s">
        <v>749</v>
      </c>
      <c r="D154" s="301" t="s">
        <v>750</v>
      </c>
      <c r="E154" s="302" t="s">
        <v>751</v>
      </c>
      <c r="F154" s="299" t="s">
        <v>37</v>
      </c>
      <c r="G154" s="303">
        <f>IF(H154="","",ROUND(H154/$C$3,2))</f>
        <v>7.54</v>
      </c>
      <c r="H154" s="304">
        <v>159</v>
      </c>
      <c r="I154" s="305"/>
      <c r="J154" s="306">
        <f>IF(H154="","",ROUND(H154*(1+IF(I154="",0,I154)),2))</f>
        <v>159</v>
      </c>
      <c r="K154" s="307">
        <v>2</v>
      </c>
      <c r="L154" s="308"/>
    </row>
    <row r="155" spans="1:12" x14ac:dyDescent="0.2">
      <c r="A155" s="199" t="s">
        <v>748</v>
      </c>
      <c r="B155" s="171" t="s">
        <v>748</v>
      </c>
      <c r="C155" s="213" t="s">
        <v>752</v>
      </c>
      <c r="D155" s="227" t="s">
        <v>753</v>
      </c>
      <c r="E155" s="157" t="s">
        <v>754</v>
      </c>
      <c r="F155" s="171" t="s">
        <v>37</v>
      </c>
      <c r="G155" s="241">
        <f>IF(H155="","",ROUND(H155/$C$3,2))</f>
        <v>25.14</v>
      </c>
      <c r="H155" s="255">
        <v>530</v>
      </c>
      <c r="I155" s="269"/>
      <c r="J155" s="282">
        <f>IF(H155="","",ROUND(H155*(1+IF(I155="",0,I155)),2))</f>
        <v>530</v>
      </c>
      <c r="K155" s="185">
        <v>2</v>
      </c>
      <c r="L155" s="285"/>
    </row>
    <row r="156" spans="1:12" x14ac:dyDescent="0.2">
      <c r="A156" s="298" t="s">
        <v>748</v>
      </c>
      <c r="B156" s="299" t="s">
        <v>748</v>
      </c>
      <c r="C156" s="300" t="s">
        <v>755</v>
      </c>
      <c r="D156" s="301" t="s">
        <v>756</v>
      </c>
      <c r="E156" s="302" t="s">
        <v>757</v>
      </c>
      <c r="F156" s="299" t="s">
        <v>37</v>
      </c>
      <c r="G156" s="303">
        <f>IF(H156="","",ROUND(H156/$C$3,2))</f>
        <v>10.220000000000001</v>
      </c>
      <c r="H156" s="304">
        <v>215.52</v>
      </c>
      <c r="I156" s="305"/>
      <c r="J156" s="306">
        <f>IF(H156="","",ROUND(H156*(1+IF(I156="",0,I156)),2))</f>
        <v>215.52</v>
      </c>
      <c r="K156" s="307">
        <v>2</v>
      </c>
      <c r="L156" s="308"/>
    </row>
    <row r="157" spans="1:12" x14ac:dyDescent="0.2">
      <c r="A157" s="199" t="s">
        <v>748</v>
      </c>
      <c r="B157" s="171" t="s">
        <v>748</v>
      </c>
      <c r="C157" s="213" t="s">
        <v>758</v>
      </c>
      <c r="D157" s="227" t="s">
        <v>759</v>
      </c>
      <c r="E157" s="157" t="s">
        <v>760</v>
      </c>
      <c r="F157" s="171" t="s">
        <v>37</v>
      </c>
      <c r="G157" s="241">
        <f>IF(H157="","",ROUND(H157/$C$3,2))</f>
        <v>39.26</v>
      </c>
      <c r="H157" s="255">
        <v>827.59</v>
      </c>
      <c r="I157" s="269"/>
      <c r="J157" s="282">
        <f>IF(H157="","",ROUND(H157*(1+IF(I157="",0,I157)),2))</f>
        <v>827.59</v>
      </c>
      <c r="K157" s="185">
        <v>2</v>
      </c>
      <c r="L157" s="285"/>
    </row>
    <row r="158" spans="1:12" x14ac:dyDescent="0.2">
      <c r="A158" s="298" t="s">
        <v>748</v>
      </c>
      <c r="B158" s="299" t="s">
        <v>748</v>
      </c>
      <c r="C158" s="300" t="s">
        <v>761</v>
      </c>
      <c r="D158" s="301" t="s">
        <v>762</v>
      </c>
      <c r="E158" s="302" t="s">
        <v>763</v>
      </c>
      <c r="F158" s="299" t="s">
        <v>37</v>
      </c>
      <c r="G158" s="303">
        <f>IF(H158="","",ROUND(H158/$C$3,2))</f>
        <v>7.32</v>
      </c>
      <c r="H158" s="304">
        <v>154.31</v>
      </c>
      <c r="I158" s="305"/>
      <c r="J158" s="306">
        <f>IF(H158="","",ROUND(H158*(1+IF(I158="",0,I158)),2))</f>
        <v>154.31</v>
      </c>
      <c r="K158" s="307">
        <v>2</v>
      </c>
      <c r="L158" s="308"/>
    </row>
    <row r="159" spans="1:12" x14ac:dyDescent="0.2">
      <c r="A159" s="199" t="s">
        <v>748</v>
      </c>
      <c r="B159" s="171" t="s">
        <v>748</v>
      </c>
      <c r="C159" s="213" t="s">
        <v>764</v>
      </c>
      <c r="D159" s="227" t="s">
        <v>765</v>
      </c>
      <c r="E159" s="157" t="s">
        <v>766</v>
      </c>
      <c r="F159" s="171" t="s">
        <v>37</v>
      </c>
      <c r="G159" s="241">
        <f>IF(H159="","",ROUND(H159/$C$3,2))</f>
        <v>22.06</v>
      </c>
      <c r="H159" s="255">
        <v>465</v>
      </c>
      <c r="I159" s="269"/>
      <c r="J159" s="282">
        <f>IF(H159="","",ROUND(H159*(1+IF(I159="",0,I159)),2))</f>
        <v>465</v>
      </c>
      <c r="K159" s="185">
        <v>2</v>
      </c>
      <c r="L159" s="285"/>
    </row>
    <row r="160" spans="1:12" x14ac:dyDescent="0.2">
      <c r="A160" s="199"/>
      <c r="B160" s="171"/>
      <c r="C160" s="213"/>
      <c r="D160" s="227"/>
      <c r="E160" s="157"/>
      <c r="F160" s="171"/>
      <c r="G160" s="241"/>
      <c r="H160" s="255"/>
      <c r="I160" s="269"/>
      <c r="J160" s="282"/>
      <c r="K160" s="185"/>
      <c r="L160" s="285"/>
    </row>
    <row r="161" spans="1:12" ht="22" customHeight="1" x14ac:dyDescent="0.2">
      <c r="A161" s="205" t="s">
        <v>767</v>
      </c>
      <c r="B161" s="177"/>
      <c r="C161" s="219"/>
      <c r="D161" s="233"/>
      <c r="E161" s="163"/>
      <c r="F161" s="177"/>
      <c r="G161" s="247"/>
      <c r="H161" s="261"/>
      <c r="I161" s="275"/>
      <c r="J161" s="247"/>
      <c r="K161" s="191"/>
      <c r="L161" s="291"/>
    </row>
    <row r="162" spans="1:12" x14ac:dyDescent="0.2">
      <c r="A162" s="298" t="s">
        <v>768</v>
      </c>
      <c r="B162" s="299" t="s">
        <v>769</v>
      </c>
      <c r="C162" s="300" t="s">
        <v>770</v>
      </c>
      <c r="D162" s="301" t="s">
        <v>771</v>
      </c>
      <c r="E162" s="302" t="s">
        <v>772</v>
      </c>
      <c r="F162" s="299" t="s">
        <v>37</v>
      </c>
      <c r="G162" s="303">
        <f>IF(H162="","",ROUND(H162/$C$3,2))</f>
        <v>18.89</v>
      </c>
      <c r="H162" s="304">
        <v>398.27</v>
      </c>
      <c r="I162" s="305"/>
      <c r="J162" s="306">
        <f>IF(H162="","",ROUND(H162*(1+IF(I162="",0,I162)),2))</f>
        <v>398.27</v>
      </c>
      <c r="K162" s="307">
        <v>1</v>
      </c>
      <c r="L162" s="308"/>
    </row>
    <row r="163" spans="1:12" x14ac:dyDescent="0.2">
      <c r="A163" s="199"/>
      <c r="B163" s="171"/>
      <c r="C163" s="213"/>
      <c r="D163" s="227"/>
      <c r="E163" s="157"/>
      <c r="F163" s="171"/>
      <c r="G163" s="241"/>
      <c r="H163" s="255"/>
      <c r="I163" s="269"/>
      <c r="J163" s="282"/>
      <c r="K163" s="185"/>
      <c r="L163" s="285"/>
    </row>
    <row r="164" spans="1:12" ht="22" customHeight="1" x14ac:dyDescent="0.2">
      <c r="A164" s="206" t="s">
        <v>773</v>
      </c>
      <c r="B164" s="178"/>
      <c r="C164" s="220"/>
      <c r="D164" s="234"/>
      <c r="E164" s="164"/>
      <c r="F164" s="178"/>
      <c r="G164" s="248"/>
      <c r="H164" s="262"/>
      <c r="I164" s="276"/>
      <c r="J164" s="248"/>
      <c r="K164" s="192"/>
      <c r="L164" s="292"/>
    </row>
    <row r="165" spans="1:12" x14ac:dyDescent="0.2">
      <c r="A165" s="298" t="s">
        <v>774</v>
      </c>
      <c r="B165" s="299" t="s">
        <v>775</v>
      </c>
      <c r="C165" s="300" t="s">
        <v>776</v>
      </c>
      <c r="D165" s="301" t="s">
        <v>777</v>
      </c>
      <c r="E165" s="302" t="s">
        <v>778</v>
      </c>
      <c r="F165" s="299" t="s">
        <v>37</v>
      </c>
      <c r="G165" s="303">
        <f>IF(H165="","",ROUND(H165/$C$3,2))</f>
        <v>42.16</v>
      </c>
      <c r="H165" s="304">
        <v>888.72</v>
      </c>
      <c r="I165" s="305"/>
      <c r="J165" s="306">
        <f>IF(H165="","",ROUND(H165*(1+IF(I165="",0,I165)),2))</f>
        <v>888.72</v>
      </c>
      <c r="K165" s="307">
        <v>2</v>
      </c>
      <c r="L165" s="308"/>
    </row>
    <row r="166" spans="1:12" x14ac:dyDescent="0.2">
      <c r="A166" s="199" t="s">
        <v>774</v>
      </c>
      <c r="B166" s="171" t="s">
        <v>775</v>
      </c>
      <c r="C166" s="213" t="s">
        <v>779</v>
      </c>
      <c r="D166" s="227" t="s">
        <v>780</v>
      </c>
      <c r="E166" s="157" t="s">
        <v>781</v>
      </c>
      <c r="F166" s="171" t="s">
        <v>37</v>
      </c>
      <c r="G166" s="241">
        <f>IF(H166="","",ROUND(H166/$C$3,2))</f>
        <v>5.29</v>
      </c>
      <c r="H166" s="255">
        <v>111.54</v>
      </c>
      <c r="I166" s="269"/>
      <c r="J166" s="282">
        <f>IF(H166="","",ROUND(H166*(1+IF(I166="",0,I166)),2))</f>
        <v>111.54</v>
      </c>
      <c r="K166" s="185">
        <v>2</v>
      </c>
      <c r="L166" s="285"/>
    </row>
    <row r="167" spans="1:12" x14ac:dyDescent="0.2">
      <c r="A167" s="298" t="s">
        <v>774</v>
      </c>
      <c r="B167" s="299" t="s">
        <v>775</v>
      </c>
      <c r="C167" s="300" t="s">
        <v>782</v>
      </c>
      <c r="D167" s="301" t="s">
        <v>783</v>
      </c>
      <c r="E167" s="302" t="s">
        <v>784</v>
      </c>
      <c r="F167" s="299" t="s">
        <v>37</v>
      </c>
      <c r="G167" s="303">
        <f>IF(H167="","",ROUND(H167/$C$3,2))</f>
        <v>15.27</v>
      </c>
      <c r="H167" s="304">
        <v>321.8</v>
      </c>
      <c r="I167" s="305"/>
      <c r="J167" s="306">
        <f>IF(H167="","",ROUND(H167*(1+IF(I167="",0,I167)),2))</f>
        <v>321.8</v>
      </c>
      <c r="K167" s="307">
        <v>1</v>
      </c>
      <c r="L167" s="308"/>
    </row>
    <row r="168" spans="1:12" x14ac:dyDescent="0.2">
      <c r="A168" s="199" t="s">
        <v>774</v>
      </c>
      <c r="B168" s="171" t="s">
        <v>775</v>
      </c>
      <c r="C168" s="213" t="s">
        <v>785</v>
      </c>
      <c r="D168" s="227" t="s">
        <v>786</v>
      </c>
      <c r="E168" s="157" t="s">
        <v>787</v>
      </c>
      <c r="F168" s="171" t="s">
        <v>37</v>
      </c>
      <c r="G168" s="241">
        <f>IF(H168="","",ROUND(H168/$C$3,2))</f>
        <v>6.39</v>
      </c>
      <c r="H168" s="255">
        <v>134.66</v>
      </c>
      <c r="I168" s="269"/>
      <c r="J168" s="282">
        <f>IF(H168="","",ROUND(H168*(1+IF(I168="",0,I168)),2))</f>
        <v>134.66</v>
      </c>
      <c r="K168" s="185">
        <v>1</v>
      </c>
      <c r="L168" s="285"/>
    </row>
    <row r="169" spans="1:12" x14ac:dyDescent="0.2">
      <c r="A169" s="298" t="s">
        <v>774</v>
      </c>
      <c r="B169" s="299" t="s">
        <v>775</v>
      </c>
      <c r="C169" s="300" t="s">
        <v>788</v>
      </c>
      <c r="D169" s="301" t="s">
        <v>789</v>
      </c>
      <c r="E169" s="302" t="s">
        <v>790</v>
      </c>
      <c r="F169" s="299" t="s">
        <v>37</v>
      </c>
      <c r="G169" s="303">
        <f>IF(H169="","",ROUND(H169/$C$3,2))</f>
        <v>7.38</v>
      </c>
      <c r="H169" s="304">
        <v>155.55000000000001</v>
      </c>
      <c r="I169" s="305"/>
      <c r="J169" s="306">
        <f>IF(H169="","",ROUND(H169*(1+IF(I169="",0,I169)),2))</f>
        <v>155.55000000000001</v>
      </c>
      <c r="K169" s="307">
        <v>2</v>
      </c>
      <c r="L169" s="308"/>
    </row>
    <row r="170" spans="1:12" x14ac:dyDescent="0.2">
      <c r="A170" s="199" t="s">
        <v>774</v>
      </c>
      <c r="B170" s="171" t="s">
        <v>775</v>
      </c>
      <c r="C170" s="213" t="s">
        <v>791</v>
      </c>
      <c r="D170" s="227" t="s">
        <v>792</v>
      </c>
      <c r="E170" s="157" t="s">
        <v>793</v>
      </c>
      <c r="F170" s="171" t="s">
        <v>37</v>
      </c>
      <c r="G170" s="241">
        <f>IF(H170="","",ROUND(H170/$C$3,2))</f>
        <v>12.72</v>
      </c>
      <c r="H170" s="255">
        <v>268.04000000000002</v>
      </c>
      <c r="I170" s="269"/>
      <c r="J170" s="282">
        <f>IF(H170="","",ROUND(H170*(1+IF(I170="",0,I170)),2))</f>
        <v>268.04000000000002</v>
      </c>
      <c r="K170" s="185">
        <v>1</v>
      </c>
      <c r="L170" s="285"/>
    </row>
    <row r="171" spans="1:12" x14ac:dyDescent="0.2">
      <c r="A171" s="298" t="s">
        <v>774</v>
      </c>
      <c r="B171" s="299" t="s">
        <v>775</v>
      </c>
      <c r="C171" s="300" t="s">
        <v>794</v>
      </c>
      <c r="D171" s="301" t="s">
        <v>795</v>
      </c>
      <c r="E171" s="302" t="s">
        <v>796</v>
      </c>
      <c r="F171" s="299" t="s">
        <v>37</v>
      </c>
      <c r="G171" s="303">
        <f>IF(H171="","",ROUND(H171/$C$3,2))</f>
        <v>3.75</v>
      </c>
      <c r="H171" s="304">
        <v>79</v>
      </c>
      <c r="I171" s="305"/>
      <c r="J171" s="306">
        <f>IF(H171="","",ROUND(H171*(1+IF(I171="",0,I171)),2))</f>
        <v>79</v>
      </c>
      <c r="K171" s="307">
        <v>2</v>
      </c>
      <c r="L171" s="308"/>
    </row>
    <row r="172" spans="1:12" x14ac:dyDescent="0.2">
      <c r="A172" s="199" t="s">
        <v>774</v>
      </c>
      <c r="B172" s="171" t="s">
        <v>775</v>
      </c>
      <c r="C172" s="213" t="s">
        <v>797</v>
      </c>
      <c r="D172" s="227" t="s">
        <v>798</v>
      </c>
      <c r="E172" s="157" t="s">
        <v>799</v>
      </c>
      <c r="F172" s="171" t="s">
        <v>37</v>
      </c>
      <c r="G172" s="241">
        <f>IF(H172="","",ROUND(H172/$C$3,2))</f>
        <v>22.28</v>
      </c>
      <c r="H172" s="255">
        <v>469.56</v>
      </c>
      <c r="I172" s="269"/>
      <c r="J172" s="282">
        <f>IF(H172="","",ROUND(H172*(1+IF(I172="",0,I172)),2))</f>
        <v>469.56</v>
      </c>
      <c r="K172" s="185">
        <v>2</v>
      </c>
      <c r="L172" s="285"/>
    </row>
    <row r="173" spans="1:12" x14ac:dyDescent="0.2">
      <c r="A173" s="298" t="s">
        <v>774</v>
      </c>
      <c r="B173" s="299" t="s">
        <v>775</v>
      </c>
      <c r="C173" s="300" t="s">
        <v>800</v>
      </c>
      <c r="D173" s="301" t="s">
        <v>801</v>
      </c>
      <c r="E173" s="302" t="s">
        <v>802</v>
      </c>
      <c r="F173" s="299" t="s">
        <v>37</v>
      </c>
      <c r="G173" s="303">
        <f>IF(H173="","",ROUND(H173/$C$3,2))</f>
        <v>15.46</v>
      </c>
      <c r="H173" s="304">
        <v>326</v>
      </c>
      <c r="I173" s="305"/>
      <c r="J173" s="306">
        <f>IF(H173="","",ROUND(H173*(1+IF(I173="",0,I173)),2))</f>
        <v>326</v>
      </c>
      <c r="K173" s="307">
        <v>2</v>
      </c>
      <c r="L173" s="308"/>
    </row>
    <row r="174" spans="1:12" x14ac:dyDescent="0.2">
      <c r="A174" s="199" t="s">
        <v>774</v>
      </c>
      <c r="B174" s="171" t="s">
        <v>775</v>
      </c>
      <c r="C174" s="213" t="s">
        <v>803</v>
      </c>
      <c r="D174" s="227" t="s">
        <v>804</v>
      </c>
      <c r="E174" s="157" t="s">
        <v>805</v>
      </c>
      <c r="F174" s="171" t="s">
        <v>37</v>
      </c>
      <c r="G174" s="241">
        <f>IF(H174="","",ROUND(H174/$C$3,2))</f>
        <v>30.28</v>
      </c>
      <c r="H174" s="255">
        <v>638.23</v>
      </c>
      <c r="I174" s="269"/>
      <c r="J174" s="282">
        <f>IF(H174="","",ROUND(H174*(1+IF(I174="",0,I174)),2))</f>
        <v>638.23</v>
      </c>
      <c r="K174" s="185">
        <v>1</v>
      </c>
      <c r="L174" s="285"/>
    </row>
    <row r="175" spans="1:12" x14ac:dyDescent="0.2">
      <c r="A175" s="298" t="s">
        <v>774</v>
      </c>
      <c r="B175" s="299" t="s">
        <v>775</v>
      </c>
      <c r="C175" s="300" t="s">
        <v>806</v>
      </c>
      <c r="D175" s="301" t="s">
        <v>807</v>
      </c>
      <c r="E175" s="302" t="s">
        <v>808</v>
      </c>
      <c r="F175" s="299" t="s">
        <v>37</v>
      </c>
      <c r="G175" s="303">
        <f>IF(H175="","",ROUND(H175/$C$3,2))</f>
        <v>19.59</v>
      </c>
      <c r="H175" s="304">
        <v>412.94</v>
      </c>
      <c r="I175" s="305"/>
      <c r="J175" s="306">
        <f>IF(H175="","",ROUND(H175*(1+IF(I175="",0,I175)),2))</f>
        <v>412.94</v>
      </c>
      <c r="K175" s="307">
        <v>2</v>
      </c>
      <c r="L175" s="308"/>
    </row>
    <row r="176" spans="1:12" x14ac:dyDescent="0.2">
      <c r="A176" s="199" t="s">
        <v>774</v>
      </c>
      <c r="B176" s="171" t="s">
        <v>775</v>
      </c>
      <c r="C176" s="213" t="s">
        <v>809</v>
      </c>
      <c r="D176" s="227" t="s">
        <v>810</v>
      </c>
      <c r="E176" s="157" t="s">
        <v>811</v>
      </c>
      <c r="F176" s="171" t="s">
        <v>37</v>
      </c>
      <c r="G176" s="241">
        <f>IF(H176="","",ROUND(H176/$C$3,2))</f>
        <v>25.61</v>
      </c>
      <c r="H176" s="255">
        <v>539.82000000000005</v>
      </c>
      <c r="I176" s="269"/>
      <c r="J176" s="282">
        <f>IF(H176="","",ROUND(H176*(1+IF(I176="",0,I176)),2))</f>
        <v>539.82000000000005</v>
      </c>
      <c r="K176" s="185">
        <v>2</v>
      </c>
      <c r="L176" s="285"/>
    </row>
    <row r="177" spans="1:12" x14ac:dyDescent="0.2">
      <c r="A177" s="298" t="s">
        <v>774</v>
      </c>
      <c r="B177" s="299" t="s">
        <v>812</v>
      </c>
      <c r="C177" s="300" t="s">
        <v>813</v>
      </c>
      <c r="D177" s="301" t="s">
        <v>814</v>
      </c>
      <c r="E177" s="302" t="s">
        <v>815</v>
      </c>
      <c r="F177" s="299" t="s">
        <v>37</v>
      </c>
      <c r="G177" s="303">
        <f>IF(H177="","",ROUND(H177/$C$3,2))</f>
        <v>4.93</v>
      </c>
      <c r="H177" s="304">
        <v>103.83</v>
      </c>
      <c r="I177" s="305"/>
      <c r="J177" s="306">
        <f>IF(H177="","",ROUND(H177*(1+IF(I177="",0,I177)),2))</f>
        <v>103.83</v>
      </c>
      <c r="K177" s="307">
        <v>2</v>
      </c>
      <c r="L177" s="308"/>
    </row>
    <row r="178" spans="1:12" x14ac:dyDescent="0.2">
      <c r="A178" s="199" t="s">
        <v>774</v>
      </c>
      <c r="B178" s="171" t="s">
        <v>812</v>
      </c>
      <c r="C178" s="213" t="s">
        <v>816</v>
      </c>
      <c r="D178" s="227" t="s">
        <v>817</v>
      </c>
      <c r="E178" s="157" t="s">
        <v>818</v>
      </c>
      <c r="F178" s="171" t="s">
        <v>37</v>
      </c>
      <c r="G178" s="241">
        <f>IF(H178="","",ROUND(H178/$C$3,2))</f>
        <v>2.75</v>
      </c>
      <c r="H178" s="255">
        <v>58.05</v>
      </c>
      <c r="I178" s="269"/>
      <c r="J178" s="282">
        <f>IF(H178="","",ROUND(H178*(1+IF(I178="",0,I178)),2))</f>
        <v>58.05</v>
      </c>
      <c r="K178" s="185">
        <v>2</v>
      </c>
      <c r="L178" s="285"/>
    </row>
    <row r="179" spans="1:12" x14ac:dyDescent="0.2">
      <c r="A179" s="298" t="s">
        <v>774</v>
      </c>
      <c r="B179" s="299" t="s">
        <v>819</v>
      </c>
      <c r="C179" s="300" t="s">
        <v>820</v>
      </c>
      <c r="D179" s="301" t="s">
        <v>821</v>
      </c>
      <c r="E179" s="302" t="s">
        <v>822</v>
      </c>
      <c r="F179" s="299" t="s">
        <v>37</v>
      </c>
      <c r="G179" s="303">
        <f>IF(H179="","",ROUND(H179/$C$3,2))</f>
        <v>35.840000000000003</v>
      </c>
      <c r="H179" s="304">
        <v>755.42</v>
      </c>
      <c r="I179" s="305"/>
      <c r="J179" s="306">
        <f>IF(H179="","",ROUND(H179*(1+IF(I179="",0,I179)),2))</f>
        <v>755.42</v>
      </c>
      <c r="K179" s="307">
        <v>2</v>
      </c>
      <c r="L179" s="308"/>
    </row>
    <row r="180" spans="1:12" x14ac:dyDescent="0.2">
      <c r="A180" s="199" t="s">
        <v>774</v>
      </c>
      <c r="B180" s="171" t="s">
        <v>823</v>
      </c>
      <c r="C180" s="213" t="s">
        <v>824</v>
      </c>
      <c r="D180" s="227" t="s">
        <v>825</v>
      </c>
      <c r="E180" s="157" t="s">
        <v>826</v>
      </c>
      <c r="F180" s="171" t="s">
        <v>37</v>
      </c>
      <c r="G180" s="241">
        <f>IF(H180="","",ROUND(H180/$C$3,2))</f>
        <v>45.31</v>
      </c>
      <c r="H180" s="255">
        <v>955.09</v>
      </c>
      <c r="I180" s="269"/>
      <c r="J180" s="282">
        <f>IF(H180="","",ROUND(H180*(1+IF(I180="",0,I180)),2))</f>
        <v>955.09</v>
      </c>
      <c r="K180" s="185">
        <v>2</v>
      </c>
      <c r="L180" s="285"/>
    </row>
    <row r="181" spans="1:12" x14ac:dyDescent="0.2">
      <c r="A181" s="298" t="s">
        <v>774</v>
      </c>
      <c r="B181" s="299" t="s">
        <v>823</v>
      </c>
      <c r="C181" s="300" t="s">
        <v>827</v>
      </c>
      <c r="D181" s="301" t="s">
        <v>828</v>
      </c>
      <c r="E181" s="302" t="s">
        <v>829</v>
      </c>
      <c r="F181" s="299" t="s">
        <v>37</v>
      </c>
      <c r="G181" s="303">
        <f>IF(H181="","",ROUND(H181/$C$3,2))</f>
        <v>74.86</v>
      </c>
      <c r="H181" s="304">
        <v>1578</v>
      </c>
      <c r="I181" s="305"/>
      <c r="J181" s="306">
        <f>IF(H181="","",ROUND(H181*(1+IF(I181="",0,I181)),2))</f>
        <v>1578</v>
      </c>
      <c r="K181" s="307">
        <v>2</v>
      </c>
      <c r="L181" s="308"/>
    </row>
    <row r="182" spans="1:12" x14ac:dyDescent="0.2">
      <c r="A182" s="199" t="s">
        <v>774</v>
      </c>
      <c r="B182" s="171" t="s">
        <v>823</v>
      </c>
      <c r="C182" s="213" t="s">
        <v>830</v>
      </c>
      <c r="D182" s="227" t="s">
        <v>831</v>
      </c>
      <c r="E182" s="157" t="s">
        <v>832</v>
      </c>
      <c r="F182" s="171" t="s">
        <v>37</v>
      </c>
      <c r="G182" s="241">
        <f>IF(H182="","",ROUND(H182/$C$3,2))</f>
        <v>19.309999999999999</v>
      </c>
      <c r="H182" s="255">
        <v>407.03</v>
      </c>
      <c r="I182" s="269"/>
      <c r="J182" s="282">
        <f>IF(H182="","",ROUND(H182*(1+IF(I182="",0,I182)),2))</f>
        <v>407.03</v>
      </c>
      <c r="K182" s="185">
        <v>2</v>
      </c>
      <c r="L182" s="285"/>
    </row>
    <row r="183" spans="1:12" x14ac:dyDescent="0.2">
      <c r="A183" s="298" t="s">
        <v>774</v>
      </c>
      <c r="B183" s="299" t="s">
        <v>823</v>
      </c>
      <c r="C183" s="300" t="s">
        <v>833</v>
      </c>
      <c r="D183" s="301" t="s">
        <v>834</v>
      </c>
      <c r="E183" s="302" t="s">
        <v>835</v>
      </c>
      <c r="F183" s="299" t="s">
        <v>37</v>
      </c>
      <c r="G183" s="303">
        <f>IF(H183="","",ROUND(H183/$C$3,2))</f>
        <v>25.62</v>
      </c>
      <c r="H183" s="304">
        <v>540.04999999999995</v>
      </c>
      <c r="I183" s="305"/>
      <c r="J183" s="306">
        <f>IF(H183="","",ROUND(H183*(1+IF(I183="",0,I183)),2))</f>
        <v>540.04999999999995</v>
      </c>
      <c r="K183" s="307">
        <v>2</v>
      </c>
      <c r="L183" s="308"/>
    </row>
    <row r="184" spans="1:12" x14ac:dyDescent="0.2">
      <c r="A184" s="199" t="s">
        <v>774</v>
      </c>
      <c r="B184" s="171" t="s">
        <v>823</v>
      </c>
      <c r="C184" s="213" t="s">
        <v>836</v>
      </c>
      <c r="D184" s="227" t="s">
        <v>837</v>
      </c>
      <c r="E184" s="157" t="s">
        <v>838</v>
      </c>
      <c r="F184" s="171" t="s">
        <v>37</v>
      </c>
      <c r="G184" s="241">
        <f>IF(H184="","",ROUND(H184/$C$3,2))</f>
        <v>37.43</v>
      </c>
      <c r="H184" s="255">
        <v>789.05</v>
      </c>
      <c r="I184" s="269"/>
      <c r="J184" s="282">
        <f>IF(H184="","",ROUND(H184*(1+IF(I184="",0,I184)),2))</f>
        <v>789.05</v>
      </c>
      <c r="K184" s="185">
        <v>1</v>
      </c>
      <c r="L184" s="285"/>
    </row>
    <row r="185" spans="1:12" x14ac:dyDescent="0.2">
      <c r="A185" s="298" t="s">
        <v>774</v>
      </c>
      <c r="B185" s="299" t="s">
        <v>823</v>
      </c>
      <c r="C185" s="300" t="s">
        <v>839</v>
      </c>
      <c r="D185" s="301" t="s">
        <v>840</v>
      </c>
      <c r="E185" s="302" t="s">
        <v>841</v>
      </c>
      <c r="F185" s="299" t="s">
        <v>37</v>
      </c>
      <c r="G185" s="303">
        <f>IF(H185="","",ROUND(H185/$C$3,2))</f>
        <v>20.49</v>
      </c>
      <c r="H185" s="304">
        <v>431.92</v>
      </c>
      <c r="I185" s="305"/>
      <c r="J185" s="306">
        <f>IF(H185="","",ROUND(H185*(1+IF(I185="",0,I185)),2))</f>
        <v>431.92</v>
      </c>
      <c r="K185" s="307">
        <v>1</v>
      </c>
      <c r="L185" s="308"/>
    </row>
    <row r="186" spans="1:12" x14ac:dyDescent="0.2">
      <c r="A186" s="199" t="s">
        <v>774</v>
      </c>
      <c r="B186" s="171" t="s">
        <v>823</v>
      </c>
      <c r="C186" s="213" t="s">
        <v>842</v>
      </c>
      <c r="D186" s="227" t="s">
        <v>843</v>
      </c>
      <c r="E186" s="157" t="s">
        <v>844</v>
      </c>
      <c r="F186" s="171" t="s">
        <v>37</v>
      </c>
      <c r="G186" s="241">
        <f>IF(H186="","",ROUND(H186/$C$3,2))</f>
        <v>97.3</v>
      </c>
      <c r="H186" s="255">
        <v>2051</v>
      </c>
      <c r="I186" s="269"/>
      <c r="J186" s="282">
        <f>IF(H186="","",ROUND(H186*(1+IF(I186="",0,I186)),2))</f>
        <v>2051</v>
      </c>
      <c r="K186" s="185">
        <v>2</v>
      </c>
      <c r="L186" s="285"/>
    </row>
    <row r="187" spans="1:12" x14ac:dyDescent="0.2">
      <c r="A187" s="298" t="s">
        <v>774</v>
      </c>
      <c r="B187" s="299" t="s">
        <v>823</v>
      </c>
      <c r="C187" s="300" t="s">
        <v>845</v>
      </c>
      <c r="D187" s="301" t="s">
        <v>846</v>
      </c>
      <c r="E187" s="302" t="s">
        <v>847</v>
      </c>
      <c r="F187" s="299" t="s">
        <v>37</v>
      </c>
      <c r="G187" s="303">
        <f>IF(H187="","",ROUND(H187/$C$3,2))</f>
        <v>34.159999999999997</v>
      </c>
      <c r="H187" s="304">
        <v>719.99</v>
      </c>
      <c r="I187" s="305"/>
      <c r="J187" s="306">
        <f>IF(H187="","",ROUND(H187*(1+IF(I187="",0,I187)),2))</f>
        <v>719.99</v>
      </c>
      <c r="K187" s="307">
        <v>2</v>
      </c>
      <c r="L187" s="308"/>
    </row>
    <row r="188" spans="1:12" x14ac:dyDescent="0.2">
      <c r="A188" s="199" t="s">
        <v>774</v>
      </c>
      <c r="B188" s="171" t="s">
        <v>823</v>
      </c>
      <c r="C188" s="213" t="s">
        <v>848</v>
      </c>
      <c r="D188" s="227" t="s">
        <v>849</v>
      </c>
      <c r="E188" s="157" t="s">
        <v>850</v>
      </c>
      <c r="F188" s="171" t="s">
        <v>37</v>
      </c>
      <c r="G188" s="241">
        <f>IF(H188="","",ROUND(H188/$C$3,2))</f>
        <v>12.3</v>
      </c>
      <c r="H188" s="255">
        <v>259.35000000000002</v>
      </c>
      <c r="I188" s="269"/>
      <c r="J188" s="282">
        <f>IF(H188="","",ROUND(H188*(1+IF(I188="",0,I188)),2))</f>
        <v>259.35000000000002</v>
      </c>
      <c r="K188" s="185">
        <v>2</v>
      </c>
      <c r="L188" s="285"/>
    </row>
    <row r="189" spans="1:12" x14ac:dyDescent="0.2">
      <c r="A189" s="298" t="s">
        <v>774</v>
      </c>
      <c r="B189" s="299" t="s">
        <v>851</v>
      </c>
      <c r="C189" s="300" t="s">
        <v>852</v>
      </c>
      <c r="D189" s="301" t="s">
        <v>853</v>
      </c>
      <c r="E189" s="302" t="s">
        <v>854</v>
      </c>
      <c r="F189" s="299" t="s">
        <v>855</v>
      </c>
      <c r="G189" s="303">
        <f>IF(H189="","",ROUND(H189/$C$3,2))</f>
        <v>88.18</v>
      </c>
      <c r="H189" s="304">
        <v>1858.82</v>
      </c>
      <c r="I189" s="305"/>
      <c r="J189" s="306">
        <f>IF(H189="","",ROUND(H189*(1+IF(I189="",0,I189)),2))</f>
        <v>1858.82</v>
      </c>
      <c r="K189" s="307">
        <v>2</v>
      </c>
      <c r="L189" s="308"/>
    </row>
    <row r="190" spans="1:12" x14ac:dyDescent="0.2">
      <c r="A190" s="199" t="s">
        <v>774</v>
      </c>
      <c r="B190" s="171" t="s">
        <v>851</v>
      </c>
      <c r="C190" s="213" t="s">
        <v>856</v>
      </c>
      <c r="D190" s="227" t="s">
        <v>857</v>
      </c>
      <c r="E190" s="157" t="s">
        <v>858</v>
      </c>
      <c r="F190" s="171" t="s">
        <v>37</v>
      </c>
      <c r="G190" s="241">
        <f>IF(H190="","",ROUND(H190/$C$3,2))</f>
        <v>64.92</v>
      </c>
      <c r="H190" s="255">
        <v>1368.46</v>
      </c>
      <c r="I190" s="269"/>
      <c r="J190" s="282">
        <f>IF(H190="","",ROUND(H190*(1+IF(I190="",0,I190)),2))</f>
        <v>1368.46</v>
      </c>
      <c r="K190" s="185">
        <v>2</v>
      </c>
      <c r="L190" s="285"/>
    </row>
    <row r="191" spans="1:12" x14ac:dyDescent="0.2">
      <c r="A191" s="298" t="s">
        <v>774</v>
      </c>
      <c r="B191" s="299" t="s">
        <v>851</v>
      </c>
      <c r="C191" s="300" t="s">
        <v>859</v>
      </c>
      <c r="D191" s="301" t="s">
        <v>860</v>
      </c>
      <c r="E191" s="302" t="s">
        <v>861</v>
      </c>
      <c r="F191" s="299" t="s">
        <v>37</v>
      </c>
      <c r="G191" s="303">
        <f>IF(H191="","",ROUND(H191/$C$3,2))</f>
        <v>77.75</v>
      </c>
      <c r="H191" s="304">
        <v>1639</v>
      </c>
      <c r="I191" s="305"/>
      <c r="J191" s="306">
        <f>IF(H191="","",ROUND(H191*(1+IF(I191="",0,I191)),2))</f>
        <v>1639</v>
      </c>
      <c r="K191" s="307">
        <v>2</v>
      </c>
      <c r="L191" s="308"/>
    </row>
    <row r="192" spans="1:12" x14ac:dyDescent="0.2">
      <c r="A192" s="199" t="s">
        <v>774</v>
      </c>
      <c r="B192" s="171" t="s">
        <v>774</v>
      </c>
      <c r="C192" s="213" t="s">
        <v>862</v>
      </c>
      <c r="D192" s="227" t="s">
        <v>863</v>
      </c>
      <c r="E192" s="157" t="s">
        <v>864</v>
      </c>
      <c r="F192" s="171" t="s">
        <v>37</v>
      </c>
      <c r="G192" s="241">
        <f>IF(H192="","",ROUND(H192/$C$3,2))</f>
        <v>23.2</v>
      </c>
      <c r="H192" s="255">
        <v>488.97</v>
      </c>
      <c r="I192" s="269"/>
      <c r="J192" s="282">
        <f>IF(H192="","",ROUND(H192*(1+IF(I192="",0,I192)),2))</f>
        <v>488.97</v>
      </c>
      <c r="K192" s="185">
        <v>2</v>
      </c>
      <c r="L192" s="285"/>
    </row>
    <row r="193" spans="1:12" x14ac:dyDescent="0.2">
      <c r="A193" s="298" t="s">
        <v>774</v>
      </c>
      <c r="B193" s="299" t="s">
        <v>865</v>
      </c>
      <c r="C193" s="300" t="s">
        <v>866</v>
      </c>
      <c r="D193" s="301" t="s">
        <v>867</v>
      </c>
      <c r="E193" s="302" t="s">
        <v>868</v>
      </c>
      <c r="F193" s="299" t="s">
        <v>37</v>
      </c>
      <c r="G193" s="303">
        <f>IF(H193="","",ROUND(H193/$C$3,2))</f>
        <v>271.95999999999998</v>
      </c>
      <c r="H193" s="304">
        <v>5732.93</v>
      </c>
      <c r="I193" s="305"/>
      <c r="J193" s="306">
        <f>IF(H193="","",ROUND(H193*(1+IF(I193="",0,I193)),2))</f>
        <v>5732.93</v>
      </c>
      <c r="K193" s="307">
        <v>2</v>
      </c>
      <c r="L193" s="308"/>
    </row>
    <row r="194" spans="1:12" x14ac:dyDescent="0.2">
      <c r="A194" s="199" t="s">
        <v>774</v>
      </c>
      <c r="B194" s="171" t="s">
        <v>865</v>
      </c>
      <c r="C194" s="213" t="s">
        <v>869</v>
      </c>
      <c r="D194" s="227" t="s">
        <v>870</v>
      </c>
      <c r="E194" s="157" t="s">
        <v>871</v>
      </c>
      <c r="F194" s="171" t="s">
        <v>37</v>
      </c>
      <c r="G194" s="241">
        <f>IF(H194="","",ROUND(H194/$C$3,2))</f>
        <v>170.43</v>
      </c>
      <c r="H194" s="255">
        <v>3592.56</v>
      </c>
      <c r="I194" s="269"/>
      <c r="J194" s="282">
        <f>IF(H194="","",ROUND(H194*(1+IF(I194="",0,I194)),2))</f>
        <v>3592.56</v>
      </c>
      <c r="K194" s="185">
        <v>1</v>
      </c>
      <c r="L194" s="285"/>
    </row>
    <row r="195" spans="1:12" x14ac:dyDescent="0.2">
      <c r="A195" s="298" t="s">
        <v>774</v>
      </c>
      <c r="B195" s="299" t="s">
        <v>872</v>
      </c>
      <c r="C195" s="300" t="s">
        <v>873</v>
      </c>
      <c r="D195" s="301" t="s">
        <v>874</v>
      </c>
      <c r="E195" s="302" t="s">
        <v>875</v>
      </c>
      <c r="F195" s="299" t="s">
        <v>37</v>
      </c>
      <c r="G195" s="303">
        <f>IF(H195="","",ROUND(H195/$C$3,2))</f>
        <v>48.24</v>
      </c>
      <c r="H195" s="304">
        <v>1016.93</v>
      </c>
      <c r="I195" s="305"/>
      <c r="J195" s="306">
        <f>IF(H195="","",ROUND(H195*(1+IF(I195="",0,I195)),2))</f>
        <v>1016.93</v>
      </c>
      <c r="K195" s="307">
        <v>2</v>
      </c>
      <c r="L195" s="308"/>
    </row>
    <row r="196" spans="1:12" x14ac:dyDescent="0.2">
      <c r="A196" s="199" t="s">
        <v>774</v>
      </c>
      <c r="B196" s="171" t="s">
        <v>872</v>
      </c>
      <c r="C196" s="213" t="s">
        <v>876</v>
      </c>
      <c r="D196" s="227" t="s">
        <v>877</v>
      </c>
      <c r="E196" s="157" t="s">
        <v>878</v>
      </c>
      <c r="F196" s="171" t="s">
        <v>37</v>
      </c>
      <c r="G196" s="241">
        <f>IF(H196="","",ROUND(H196/$C$3,2))</f>
        <v>66.41</v>
      </c>
      <c r="H196" s="255">
        <v>1400</v>
      </c>
      <c r="I196" s="269"/>
      <c r="J196" s="282">
        <f>IF(H196="","",ROUND(H196*(1+IF(I196="",0,I196)),2))</f>
        <v>1400</v>
      </c>
      <c r="K196" s="185">
        <v>2</v>
      </c>
      <c r="L196" s="285"/>
    </row>
    <row r="197" spans="1:12" x14ac:dyDescent="0.2">
      <c r="A197" s="298" t="s">
        <v>774</v>
      </c>
      <c r="B197" s="299" t="s">
        <v>872</v>
      </c>
      <c r="C197" s="300" t="s">
        <v>879</v>
      </c>
      <c r="D197" s="301" t="s">
        <v>880</v>
      </c>
      <c r="E197" s="302" t="s">
        <v>881</v>
      </c>
      <c r="F197" s="299" t="s">
        <v>37</v>
      </c>
      <c r="G197" s="303">
        <f>IF(H197="","",ROUND(H197/$C$3,2))</f>
        <v>24.23</v>
      </c>
      <c r="H197" s="304">
        <v>510.83</v>
      </c>
      <c r="I197" s="305"/>
      <c r="J197" s="306">
        <f>IF(H197="","",ROUND(H197*(1+IF(I197="",0,I197)),2))</f>
        <v>510.83</v>
      </c>
      <c r="K197" s="307">
        <v>1</v>
      </c>
      <c r="L197" s="308"/>
    </row>
    <row r="198" spans="1:12" x14ac:dyDescent="0.2">
      <c r="A198" s="199" t="s">
        <v>774</v>
      </c>
      <c r="B198" s="171" t="s">
        <v>872</v>
      </c>
      <c r="C198" s="213" t="s">
        <v>882</v>
      </c>
      <c r="D198" s="227" t="s">
        <v>883</v>
      </c>
      <c r="E198" s="157" t="s">
        <v>884</v>
      </c>
      <c r="F198" s="171" t="s">
        <v>37</v>
      </c>
      <c r="G198" s="241">
        <f>IF(H198="","",ROUND(H198/$C$3,2))</f>
        <v>13.89</v>
      </c>
      <c r="H198" s="255">
        <v>292.81</v>
      </c>
      <c r="I198" s="269"/>
      <c r="J198" s="282">
        <f>IF(H198="","",ROUND(H198*(1+IF(I198="",0,I198)),2))</f>
        <v>292.81</v>
      </c>
      <c r="K198" s="185">
        <v>1</v>
      </c>
      <c r="L198" s="285"/>
    </row>
    <row r="199" spans="1:12" x14ac:dyDescent="0.2">
      <c r="A199" s="298" t="s">
        <v>774</v>
      </c>
      <c r="B199" s="299" t="s">
        <v>872</v>
      </c>
      <c r="C199" s="300" t="s">
        <v>885</v>
      </c>
      <c r="D199" s="301" t="s">
        <v>886</v>
      </c>
      <c r="E199" s="302" t="s">
        <v>887</v>
      </c>
      <c r="F199" s="299" t="s">
        <v>37</v>
      </c>
      <c r="G199" s="303">
        <f>IF(H199="","",ROUND(H199/$C$3,2))</f>
        <v>11.69</v>
      </c>
      <c r="H199" s="304">
        <v>246.49</v>
      </c>
      <c r="I199" s="305"/>
      <c r="J199" s="306">
        <f>IF(H199="","",ROUND(H199*(1+IF(I199="",0,I199)),2))</f>
        <v>246.49</v>
      </c>
      <c r="K199" s="307">
        <v>1</v>
      </c>
      <c r="L199" s="308"/>
    </row>
    <row r="200" spans="1:12" x14ac:dyDescent="0.2">
      <c r="A200" s="199" t="s">
        <v>774</v>
      </c>
      <c r="B200" s="171" t="s">
        <v>872</v>
      </c>
      <c r="C200" s="213" t="s">
        <v>888</v>
      </c>
      <c r="D200" s="227" t="s">
        <v>889</v>
      </c>
      <c r="E200" s="157" t="s">
        <v>890</v>
      </c>
      <c r="F200" s="171" t="s">
        <v>37</v>
      </c>
      <c r="G200" s="241">
        <f>IF(H200="","",ROUND(H200/$C$3,2))</f>
        <v>20.27</v>
      </c>
      <c r="H200" s="255">
        <v>427.24</v>
      </c>
      <c r="I200" s="269"/>
      <c r="J200" s="282">
        <f>IF(H200="","",ROUND(H200*(1+IF(I200="",0,I200)),2))</f>
        <v>427.24</v>
      </c>
      <c r="K200" s="185">
        <v>1</v>
      </c>
      <c r="L200" s="285"/>
    </row>
    <row r="201" spans="1:12" x14ac:dyDescent="0.2">
      <c r="A201" s="298" t="s">
        <v>774</v>
      </c>
      <c r="B201" s="299" t="s">
        <v>872</v>
      </c>
      <c r="C201" s="300" t="s">
        <v>891</v>
      </c>
      <c r="D201" s="301" t="s">
        <v>892</v>
      </c>
      <c r="E201" s="302" t="s">
        <v>893</v>
      </c>
      <c r="F201" s="299" t="s">
        <v>37</v>
      </c>
      <c r="G201" s="303">
        <f>IF(H201="","",ROUND(H201/$C$3,2))</f>
        <v>15.75</v>
      </c>
      <c r="H201" s="304">
        <v>332.04</v>
      </c>
      <c r="I201" s="305"/>
      <c r="J201" s="306">
        <f>IF(H201="","",ROUND(H201*(1+IF(I201="",0,I201)),2))</f>
        <v>332.04</v>
      </c>
      <c r="K201" s="307">
        <v>1</v>
      </c>
      <c r="L201" s="308"/>
    </row>
    <row r="202" spans="1:12" x14ac:dyDescent="0.2">
      <c r="A202" s="199" t="s">
        <v>774</v>
      </c>
      <c r="B202" s="171" t="s">
        <v>872</v>
      </c>
      <c r="C202" s="213" t="s">
        <v>894</v>
      </c>
      <c r="D202" s="227" t="s">
        <v>895</v>
      </c>
      <c r="E202" s="157" t="s">
        <v>896</v>
      </c>
      <c r="F202" s="171" t="s">
        <v>37</v>
      </c>
      <c r="G202" s="241">
        <f>IF(H202="","",ROUND(H202/$C$3,2))</f>
        <v>12.06</v>
      </c>
      <c r="H202" s="255">
        <v>254.24</v>
      </c>
      <c r="I202" s="269"/>
      <c r="J202" s="282">
        <f>IF(H202="","",ROUND(H202*(1+IF(I202="",0,I202)),2))</f>
        <v>254.24</v>
      </c>
      <c r="K202" s="185">
        <v>1</v>
      </c>
      <c r="L202" s="285"/>
    </row>
    <row r="203" spans="1:12" x14ac:dyDescent="0.2">
      <c r="A203" s="298" t="s">
        <v>774</v>
      </c>
      <c r="B203" s="299" t="s">
        <v>872</v>
      </c>
      <c r="C203" s="300" t="s">
        <v>897</v>
      </c>
      <c r="D203" s="301" t="s">
        <v>898</v>
      </c>
      <c r="E203" s="302" t="s">
        <v>899</v>
      </c>
      <c r="F203" s="299" t="s">
        <v>37</v>
      </c>
      <c r="G203" s="303">
        <f>IF(H203="","",ROUND(H203/$C$3,2))</f>
        <v>10.75</v>
      </c>
      <c r="H203" s="304">
        <v>226.51</v>
      </c>
      <c r="I203" s="305"/>
      <c r="J203" s="306">
        <f>IF(H203="","",ROUND(H203*(1+IF(I203="",0,I203)),2))</f>
        <v>226.51</v>
      </c>
      <c r="K203" s="307">
        <v>1</v>
      </c>
      <c r="L203" s="308"/>
    </row>
    <row r="204" spans="1:12" x14ac:dyDescent="0.2">
      <c r="A204" s="199" t="s">
        <v>774</v>
      </c>
      <c r="B204" s="171" t="s">
        <v>872</v>
      </c>
      <c r="C204" s="213" t="s">
        <v>900</v>
      </c>
      <c r="D204" s="227" t="s">
        <v>901</v>
      </c>
      <c r="E204" s="157" t="s">
        <v>902</v>
      </c>
      <c r="F204" s="171" t="s">
        <v>37</v>
      </c>
      <c r="G204" s="241">
        <f>IF(H204="","",ROUND(H204/$C$3,2))</f>
        <v>40.67</v>
      </c>
      <c r="H204" s="255">
        <v>857.32</v>
      </c>
      <c r="I204" s="269"/>
      <c r="J204" s="282">
        <f>IF(H204="","",ROUND(H204*(1+IF(I204="",0,I204)),2))</f>
        <v>857.32</v>
      </c>
      <c r="K204" s="185">
        <v>2</v>
      </c>
      <c r="L204" s="285"/>
    </row>
    <row r="205" spans="1:12" x14ac:dyDescent="0.2">
      <c r="A205" s="298" t="s">
        <v>774</v>
      </c>
      <c r="B205" s="299" t="s">
        <v>872</v>
      </c>
      <c r="C205" s="300" t="s">
        <v>903</v>
      </c>
      <c r="D205" s="301" t="s">
        <v>904</v>
      </c>
      <c r="E205" s="302" t="s">
        <v>905</v>
      </c>
      <c r="F205" s="299" t="s">
        <v>37</v>
      </c>
      <c r="G205" s="303">
        <f>IF(H205="","",ROUND(H205/$C$3,2))</f>
        <v>24.76</v>
      </c>
      <c r="H205" s="304">
        <v>521.99</v>
      </c>
      <c r="I205" s="305"/>
      <c r="J205" s="306">
        <f>IF(H205="","",ROUND(H205*(1+IF(I205="",0,I205)),2))</f>
        <v>521.99</v>
      </c>
      <c r="K205" s="307">
        <v>2</v>
      </c>
      <c r="L205" s="308"/>
    </row>
    <row r="206" spans="1:12" x14ac:dyDescent="0.2">
      <c r="A206" s="199" t="s">
        <v>774</v>
      </c>
      <c r="B206" s="171" t="s">
        <v>872</v>
      </c>
      <c r="C206" s="213" t="s">
        <v>906</v>
      </c>
      <c r="D206" s="227" t="s">
        <v>907</v>
      </c>
      <c r="E206" s="157" t="s">
        <v>908</v>
      </c>
      <c r="F206" s="171" t="s">
        <v>37</v>
      </c>
      <c r="G206" s="241">
        <f>IF(H206="","",ROUND(H206/$C$3,2))</f>
        <v>19.47</v>
      </c>
      <c r="H206" s="255">
        <v>410.53</v>
      </c>
      <c r="I206" s="269"/>
      <c r="J206" s="282">
        <f>IF(H206="","",ROUND(H206*(1+IF(I206="",0,I206)),2))</f>
        <v>410.53</v>
      </c>
      <c r="K206" s="185">
        <v>2</v>
      </c>
      <c r="L206" s="285"/>
    </row>
    <row r="207" spans="1:12" x14ac:dyDescent="0.2">
      <c r="A207" s="298" t="s">
        <v>774</v>
      </c>
      <c r="B207" s="299" t="s">
        <v>872</v>
      </c>
      <c r="C207" s="300" t="s">
        <v>909</v>
      </c>
      <c r="D207" s="301" t="s">
        <v>910</v>
      </c>
      <c r="E207" s="302" t="s">
        <v>911</v>
      </c>
      <c r="F207" s="299" t="s">
        <v>37</v>
      </c>
      <c r="G207" s="303">
        <f>IF(H207="","",ROUND(H207/$C$3,2))</f>
        <v>33.36</v>
      </c>
      <c r="H207" s="304">
        <v>703.23</v>
      </c>
      <c r="I207" s="305"/>
      <c r="J207" s="306">
        <f>IF(H207="","",ROUND(H207*(1+IF(I207="",0,I207)),2))</f>
        <v>703.23</v>
      </c>
      <c r="K207" s="307">
        <v>1</v>
      </c>
      <c r="L207" s="308"/>
    </row>
    <row r="208" spans="1:12" x14ac:dyDescent="0.2">
      <c r="A208" s="199" t="s">
        <v>774</v>
      </c>
      <c r="B208" s="171" t="s">
        <v>872</v>
      </c>
      <c r="C208" s="213" t="s">
        <v>912</v>
      </c>
      <c r="D208" s="227" t="s">
        <v>913</v>
      </c>
      <c r="E208" s="157" t="s">
        <v>914</v>
      </c>
      <c r="F208" s="171" t="s">
        <v>37</v>
      </c>
      <c r="G208" s="241">
        <f>IF(H208="","",ROUND(H208/$C$3,2))</f>
        <v>16.03</v>
      </c>
      <c r="H208" s="255">
        <v>337.99</v>
      </c>
      <c r="I208" s="269"/>
      <c r="J208" s="282">
        <f>IF(H208="","",ROUND(H208*(1+IF(I208="",0,I208)),2))</f>
        <v>337.99</v>
      </c>
      <c r="K208" s="185">
        <v>1</v>
      </c>
      <c r="L208" s="285"/>
    </row>
    <row r="209" spans="1:12" x14ac:dyDescent="0.2">
      <c r="A209" s="298" t="s">
        <v>774</v>
      </c>
      <c r="B209" s="299" t="s">
        <v>872</v>
      </c>
      <c r="C209" s="300" t="s">
        <v>915</v>
      </c>
      <c r="D209" s="301" t="s">
        <v>916</v>
      </c>
      <c r="E209" s="302" t="s">
        <v>917</v>
      </c>
      <c r="F209" s="299" t="s">
        <v>37</v>
      </c>
      <c r="G209" s="303">
        <f>IF(H209="","",ROUND(H209/$C$3,2))</f>
        <v>17.54</v>
      </c>
      <c r="H209" s="304">
        <v>369.8</v>
      </c>
      <c r="I209" s="305"/>
      <c r="J209" s="306">
        <f>IF(H209="","",ROUND(H209*(1+IF(I209="",0,I209)),2))</f>
        <v>369.8</v>
      </c>
      <c r="K209" s="307">
        <v>2</v>
      </c>
      <c r="L209" s="308"/>
    </row>
    <row r="210" spans="1:12" x14ac:dyDescent="0.2">
      <c r="A210" s="199" t="s">
        <v>774</v>
      </c>
      <c r="B210" s="171" t="s">
        <v>872</v>
      </c>
      <c r="C210" s="213" t="s">
        <v>918</v>
      </c>
      <c r="D210" s="227" t="s">
        <v>919</v>
      </c>
      <c r="E210" s="157" t="s">
        <v>920</v>
      </c>
      <c r="F210" s="171" t="s">
        <v>37</v>
      </c>
      <c r="G210" s="241">
        <f>IF(H210="","",ROUND(H210/$C$3,2))</f>
        <v>12.1</v>
      </c>
      <c r="H210" s="255">
        <v>255.13</v>
      </c>
      <c r="I210" s="269"/>
      <c r="J210" s="282">
        <f>IF(H210="","",ROUND(H210*(1+IF(I210="",0,I210)),2))</f>
        <v>255.13</v>
      </c>
      <c r="K210" s="185">
        <v>2</v>
      </c>
      <c r="L210" s="285"/>
    </row>
    <row r="211" spans="1:12" x14ac:dyDescent="0.2">
      <c r="A211" s="298" t="s">
        <v>774</v>
      </c>
      <c r="B211" s="299" t="s">
        <v>872</v>
      </c>
      <c r="C211" s="300" t="s">
        <v>921</v>
      </c>
      <c r="D211" s="301" t="s">
        <v>922</v>
      </c>
      <c r="E211" s="302" t="s">
        <v>923</v>
      </c>
      <c r="F211" s="299" t="s">
        <v>37</v>
      </c>
      <c r="G211" s="303">
        <f>IF(H211="","",ROUND(H211/$C$3,2))</f>
        <v>28.25</v>
      </c>
      <c r="H211" s="304">
        <v>595.52</v>
      </c>
      <c r="I211" s="305"/>
      <c r="J211" s="306">
        <f>IF(H211="","",ROUND(H211*(1+IF(I211="",0,I211)),2))</f>
        <v>595.52</v>
      </c>
      <c r="K211" s="307">
        <v>1</v>
      </c>
      <c r="L211" s="308"/>
    </row>
    <row r="212" spans="1:12" x14ac:dyDescent="0.2">
      <c r="A212" s="199" t="s">
        <v>774</v>
      </c>
      <c r="B212" s="171" t="s">
        <v>872</v>
      </c>
      <c r="C212" s="213" t="s">
        <v>924</v>
      </c>
      <c r="D212" s="227" t="s">
        <v>925</v>
      </c>
      <c r="E212" s="157" t="s">
        <v>926</v>
      </c>
      <c r="F212" s="171" t="s">
        <v>37</v>
      </c>
      <c r="G212" s="241">
        <f>IF(H212="","",ROUND(H212/$C$3,2))</f>
        <v>50.17</v>
      </c>
      <c r="H212" s="255">
        <v>1057.48</v>
      </c>
      <c r="I212" s="269"/>
      <c r="J212" s="282">
        <f>IF(H212="","",ROUND(H212*(1+IF(I212="",0,I212)),2))</f>
        <v>1057.48</v>
      </c>
      <c r="K212" s="185">
        <v>2</v>
      </c>
      <c r="L212" s="285"/>
    </row>
    <row r="213" spans="1:12" x14ac:dyDescent="0.2">
      <c r="A213" s="298" t="s">
        <v>774</v>
      </c>
      <c r="B213" s="299" t="s">
        <v>927</v>
      </c>
      <c r="C213" s="300" t="s">
        <v>928</v>
      </c>
      <c r="D213" s="301" t="s">
        <v>929</v>
      </c>
      <c r="E213" s="302" t="s">
        <v>930</v>
      </c>
      <c r="F213" s="299" t="s">
        <v>37</v>
      </c>
      <c r="G213" s="303">
        <f>IF(H213="","",ROUND(H213/$C$3,2))</f>
        <v>3.78</v>
      </c>
      <c r="H213" s="304">
        <v>79.64</v>
      </c>
      <c r="I213" s="305"/>
      <c r="J213" s="306">
        <f>IF(H213="","",ROUND(H213*(1+IF(I213="",0,I213)),2))</f>
        <v>79.64</v>
      </c>
      <c r="K213" s="307">
        <v>1</v>
      </c>
      <c r="L213" s="308"/>
    </row>
    <row r="214" spans="1:12" x14ac:dyDescent="0.2">
      <c r="A214" s="199" t="s">
        <v>774</v>
      </c>
      <c r="B214" s="171" t="s">
        <v>927</v>
      </c>
      <c r="C214" s="213" t="s">
        <v>931</v>
      </c>
      <c r="D214" s="227" t="s">
        <v>932</v>
      </c>
      <c r="E214" s="157" t="s">
        <v>933</v>
      </c>
      <c r="F214" s="171" t="s">
        <v>37</v>
      </c>
      <c r="G214" s="241">
        <f>IF(H214="","",ROUND(H214/$C$3,2))</f>
        <v>1.64</v>
      </c>
      <c r="H214" s="255">
        <v>34.619999999999997</v>
      </c>
      <c r="I214" s="269"/>
      <c r="J214" s="282">
        <f>IF(H214="","",ROUND(H214*(1+IF(I214="",0,I214)),2))</f>
        <v>34.619999999999997</v>
      </c>
      <c r="K214" s="185">
        <v>2</v>
      </c>
      <c r="L214" s="285"/>
    </row>
    <row r="215" spans="1:12" x14ac:dyDescent="0.2">
      <c r="A215" s="298" t="s">
        <v>774</v>
      </c>
      <c r="B215" s="299" t="s">
        <v>934</v>
      </c>
      <c r="C215" s="300" t="s">
        <v>935</v>
      </c>
      <c r="D215" s="301" t="s">
        <v>936</v>
      </c>
      <c r="E215" s="302" t="s">
        <v>937</v>
      </c>
      <c r="F215" s="299" t="s">
        <v>37</v>
      </c>
      <c r="G215" s="303">
        <f>IF(H215="","",ROUND(H215/$C$3,2))</f>
        <v>0.45</v>
      </c>
      <c r="H215" s="304">
        <v>9.48</v>
      </c>
      <c r="I215" s="305"/>
      <c r="J215" s="306">
        <f>IF(H215="","",ROUND(H215*(1+IF(I215="",0,I215)),2))</f>
        <v>9.48</v>
      </c>
      <c r="K215" s="307">
        <v>2</v>
      </c>
      <c r="L215" s="308"/>
    </row>
    <row r="216" spans="1:12" x14ac:dyDescent="0.2">
      <c r="A216" s="199" t="s">
        <v>774</v>
      </c>
      <c r="B216" s="171" t="s">
        <v>934</v>
      </c>
      <c r="C216" s="213" t="s">
        <v>938</v>
      </c>
      <c r="D216" s="227" t="s">
        <v>939</v>
      </c>
      <c r="E216" s="157" t="s">
        <v>940</v>
      </c>
      <c r="F216" s="171" t="s">
        <v>37</v>
      </c>
      <c r="G216" s="241">
        <f>IF(H216="","",ROUND(H216/$C$3,2))</f>
        <v>0.59</v>
      </c>
      <c r="H216" s="255">
        <v>12.47</v>
      </c>
      <c r="I216" s="269"/>
      <c r="J216" s="282">
        <f>IF(H216="","",ROUND(H216*(1+IF(I216="",0,I216)),2))</f>
        <v>12.47</v>
      </c>
      <c r="K216" s="185">
        <v>2</v>
      </c>
      <c r="L216" s="285"/>
    </row>
    <row r="217" spans="1:12" x14ac:dyDescent="0.2">
      <c r="A217" s="298" t="s">
        <v>774</v>
      </c>
      <c r="B217" s="299" t="s">
        <v>941</v>
      </c>
      <c r="C217" s="300" t="s">
        <v>942</v>
      </c>
      <c r="D217" s="301" t="s">
        <v>943</v>
      </c>
      <c r="E217" s="302" t="s">
        <v>944</v>
      </c>
      <c r="F217" s="299" t="s">
        <v>37</v>
      </c>
      <c r="G217" s="303">
        <f>IF(H217="","",ROUND(H217/$C$3,2))</f>
        <v>51.77</v>
      </c>
      <c r="H217" s="304">
        <v>1091.3800000000001</v>
      </c>
      <c r="I217" s="305"/>
      <c r="J217" s="306">
        <f>IF(H217="","",ROUND(H217*(1+IF(I217="",0,I217)),2))</f>
        <v>1091.3800000000001</v>
      </c>
      <c r="K217" s="307">
        <v>2</v>
      </c>
      <c r="L217" s="308"/>
    </row>
    <row r="218" spans="1:12" x14ac:dyDescent="0.2">
      <c r="A218" s="199" t="s">
        <v>774</v>
      </c>
      <c r="B218" s="171" t="s">
        <v>941</v>
      </c>
      <c r="C218" s="213" t="s">
        <v>945</v>
      </c>
      <c r="D218" s="227" t="s">
        <v>946</v>
      </c>
      <c r="E218" s="157" t="s">
        <v>947</v>
      </c>
      <c r="F218" s="171" t="s">
        <v>37</v>
      </c>
      <c r="G218" s="241">
        <f>IF(H218="","",ROUND(H218/$C$3,2))</f>
        <v>66.290000000000006</v>
      </c>
      <c r="H218" s="255">
        <v>1397.45</v>
      </c>
      <c r="I218" s="269"/>
      <c r="J218" s="282">
        <f>IF(H218="","",ROUND(H218*(1+IF(I218="",0,I218)),2))</f>
        <v>1397.45</v>
      </c>
      <c r="K218" s="185">
        <v>2</v>
      </c>
      <c r="L218" s="285"/>
    </row>
    <row r="219" spans="1:12" x14ac:dyDescent="0.2">
      <c r="A219" s="298" t="s">
        <v>774</v>
      </c>
      <c r="B219" s="299" t="s">
        <v>941</v>
      </c>
      <c r="C219" s="300" t="s">
        <v>948</v>
      </c>
      <c r="D219" s="301" t="s">
        <v>949</v>
      </c>
      <c r="E219" s="302" t="s">
        <v>950</v>
      </c>
      <c r="F219" s="299" t="s">
        <v>37</v>
      </c>
      <c r="G219" s="303">
        <f>IF(H219="","",ROUND(H219/$C$3,2))</f>
        <v>5.21</v>
      </c>
      <c r="H219" s="304">
        <v>109.74</v>
      </c>
      <c r="I219" s="305"/>
      <c r="J219" s="306">
        <f>IF(H219="","",ROUND(H219*(1+IF(I219="",0,I219)),2))</f>
        <v>109.74</v>
      </c>
      <c r="K219" s="307">
        <v>2</v>
      </c>
      <c r="L219" s="308"/>
    </row>
    <row r="220" spans="1:12" x14ac:dyDescent="0.2">
      <c r="A220" s="199" t="s">
        <v>774</v>
      </c>
      <c r="B220" s="171" t="s">
        <v>941</v>
      </c>
      <c r="C220" s="213" t="s">
        <v>951</v>
      </c>
      <c r="D220" s="227" t="s">
        <v>952</v>
      </c>
      <c r="E220" s="157" t="s">
        <v>953</v>
      </c>
      <c r="F220" s="171" t="s">
        <v>37</v>
      </c>
      <c r="G220" s="241">
        <f>IF(H220="","",ROUND(H220/$C$3,2))</f>
        <v>7.79</v>
      </c>
      <c r="H220" s="255">
        <v>164.17</v>
      </c>
      <c r="I220" s="269"/>
      <c r="J220" s="282">
        <f>IF(H220="","",ROUND(H220*(1+IF(I220="",0,I220)),2))</f>
        <v>164.17</v>
      </c>
      <c r="K220" s="185">
        <v>2</v>
      </c>
      <c r="L220" s="285"/>
    </row>
    <row r="221" spans="1:12" x14ac:dyDescent="0.2">
      <c r="A221" s="298" t="s">
        <v>774</v>
      </c>
      <c r="B221" s="299" t="s">
        <v>941</v>
      </c>
      <c r="C221" s="300" t="s">
        <v>954</v>
      </c>
      <c r="D221" s="301" t="s">
        <v>955</v>
      </c>
      <c r="E221" s="302" t="s">
        <v>956</v>
      </c>
      <c r="F221" s="299" t="s">
        <v>37</v>
      </c>
      <c r="G221" s="303">
        <f>IF(H221="","",ROUND(H221/$C$3,2))</f>
        <v>20.92</v>
      </c>
      <c r="H221" s="304">
        <v>441</v>
      </c>
      <c r="I221" s="305"/>
      <c r="J221" s="306">
        <f>IF(H221="","",ROUND(H221*(1+IF(I221="",0,I221)),2))</f>
        <v>441</v>
      </c>
      <c r="K221" s="307">
        <v>2</v>
      </c>
      <c r="L221" s="308"/>
    </row>
    <row r="222" spans="1:12" x14ac:dyDescent="0.2">
      <c r="A222" s="199" t="s">
        <v>774</v>
      </c>
      <c r="B222" s="171" t="s">
        <v>941</v>
      </c>
      <c r="C222" s="213" t="s">
        <v>957</v>
      </c>
      <c r="D222" s="227" t="s">
        <v>958</v>
      </c>
      <c r="E222" s="157" t="s">
        <v>959</v>
      </c>
      <c r="F222" s="171" t="s">
        <v>37</v>
      </c>
      <c r="G222" s="241">
        <f>IF(H222="","",ROUND(H222/$C$3,2))</f>
        <v>31.95</v>
      </c>
      <c r="H222" s="255">
        <v>673.55</v>
      </c>
      <c r="I222" s="269"/>
      <c r="J222" s="282">
        <f>IF(H222="","",ROUND(H222*(1+IF(I222="",0,I222)),2))</f>
        <v>673.55</v>
      </c>
      <c r="K222" s="185">
        <v>1</v>
      </c>
      <c r="L222" s="285"/>
    </row>
    <row r="223" spans="1:12" x14ac:dyDescent="0.2">
      <c r="A223" s="298" t="s">
        <v>774</v>
      </c>
      <c r="B223" s="299" t="s">
        <v>941</v>
      </c>
      <c r="C223" s="300" t="s">
        <v>960</v>
      </c>
      <c r="D223" s="301" t="s">
        <v>961</v>
      </c>
      <c r="E223" s="302" t="s">
        <v>962</v>
      </c>
      <c r="F223" s="299" t="s">
        <v>37</v>
      </c>
      <c r="G223" s="303">
        <f>IF(H223="","",ROUND(H223/$C$3,2))</f>
        <v>42.33</v>
      </c>
      <c r="H223" s="304">
        <v>892.31</v>
      </c>
      <c r="I223" s="305"/>
      <c r="J223" s="306">
        <f>IF(H223="","",ROUND(H223*(1+IF(I223="",0,I223)),2))</f>
        <v>892.31</v>
      </c>
      <c r="K223" s="307">
        <v>1</v>
      </c>
      <c r="L223" s="308"/>
    </row>
    <row r="224" spans="1:12" x14ac:dyDescent="0.2">
      <c r="A224" s="199" t="s">
        <v>774</v>
      </c>
      <c r="B224" s="171" t="s">
        <v>941</v>
      </c>
      <c r="C224" s="213" t="s">
        <v>963</v>
      </c>
      <c r="D224" s="227" t="s">
        <v>964</v>
      </c>
      <c r="E224" s="157" t="s">
        <v>965</v>
      </c>
      <c r="F224" s="171" t="s">
        <v>37</v>
      </c>
      <c r="G224" s="241">
        <f>IF(H224="","",ROUND(H224/$C$3,2))</f>
        <v>32.67</v>
      </c>
      <c r="H224" s="255">
        <v>688.6</v>
      </c>
      <c r="I224" s="269"/>
      <c r="J224" s="282">
        <f>IF(H224="","",ROUND(H224*(1+IF(I224="",0,I224)),2))</f>
        <v>688.6</v>
      </c>
      <c r="K224" s="185">
        <v>2</v>
      </c>
      <c r="L224" s="285"/>
    </row>
    <row r="225" spans="1:12" x14ac:dyDescent="0.2">
      <c r="A225" s="298" t="s">
        <v>774</v>
      </c>
      <c r="B225" s="299" t="s">
        <v>941</v>
      </c>
      <c r="C225" s="300" t="s">
        <v>966</v>
      </c>
      <c r="D225" s="301" t="s">
        <v>967</v>
      </c>
      <c r="E225" s="302" t="s">
        <v>968</v>
      </c>
      <c r="F225" s="299" t="s">
        <v>37</v>
      </c>
      <c r="G225" s="303">
        <f>IF(H225="","",ROUND(H225/$C$3,2))</f>
        <v>7.9</v>
      </c>
      <c r="H225" s="304">
        <v>166.44</v>
      </c>
      <c r="I225" s="305"/>
      <c r="J225" s="306">
        <f>IF(H225="","",ROUND(H225*(1+IF(I225="",0,I225)),2))</f>
        <v>166.44</v>
      </c>
      <c r="K225" s="307">
        <v>2</v>
      </c>
      <c r="L225" s="308"/>
    </row>
    <row r="226" spans="1:12" x14ac:dyDescent="0.2">
      <c r="A226" s="199" t="s">
        <v>774</v>
      </c>
      <c r="B226" s="171" t="s">
        <v>941</v>
      </c>
      <c r="C226" s="213" t="s">
        <v>969</v>
      </c>
      <c r="D226" s="227" t="s">
        <v>970</v>
      </c>
      <c r="E226" s="157" t="s">
        <v>971</v>
      </c>
      <c r="F226" s="171" t="s">
        <v>37</v>
      </c>
      <c r="G226" s="241">
        <f>IF(H226="","",ROUND(H226/$C$3,2))</f>
        <v>3.24</v>
      </c>
      <c r="H226" s="255">
        <v>68.260000000000005</v>
      </c>
      <c r="I226" s="269"/>
      <c r="J226" s="282">
        <f>IF(H226="","",ROUND(H226*(1+IF(I226="",0,I226)),2))</f>
        <v>68.260000000000005</v>
      </c>
      <c r="K226" s="185">
        <v>2</v>
      </c>
      <c r="L226" s="285"/>
    </row>
    <row r="227" spans="1:12" x14ac:dyDescent="0.2">
      <c r="A227" s="298" t="s">
        <v>774</v>
      </c>
      <c r="B227" s="299" t="s">
        <v>941</v>
      </c>
      <c r="C227" s="300" t="s">
        <v>972</v>
      </c>
      <c r="D227" s="301" t="s">
        <v>973</v>
      </c>
      <c r="E227" s="302" t="s">
        <v>974</v>
      </c>
      <c r="F227" s="299" t="s">
        <v>37</v>
      </c>
      <c r="G227" s="303">
        <f>IF(H227="","",ROUND(H227/$C$3,2))</f>
        <v>5.29</v>
      </c>
      <c r="H227" s="304">
        <v>111.54</v>
      </c>
      <c r="I227" s="305"/>
      <c r="J227" s="306">
        <f>IF(H227="","",ROUND(H227*(1+IF(I227="",0,I227)),2))</f>
        <v>111.54</v>
      </c>
      <c r="K227" s="307">
        <v>1</v>
      </c>
      <c r="L227" s="308"/>
    </row>
    <row r="228" spans="1:12" x14ac:dyDescent="0.2">
      <c r="A228" s="199" t="s">
        <v>774</v>
      </c>
      <c r="B228" s="171" t="s">
        <v>941</v>
      </c>
      <c r="C228" s="213" t="s">
        <v>975</v>
      </c>
      <c r="D228" s="227" t="s">
        <v>976</v>
      </c>
      <c r="E228" s="157" t="s">
        <v>977</v>
      </c>
      <c r="F228" s="171" t="s">
        <v>37</v>
      </c>
      <c r="G228" s="241">
        <f>IF(H228="","",ROUND(H228/$C$3,2))</f>
        <v>10.64</v>
      </c>
      <c r="H228" s="255">
        <v>224.22</v>
      </c>
      <c r="I228" s="269"/>
      <c r="J228" s="282">
        <f>IF(H228="","",ROUND(H228*(1+IF(I228="",0,I228)),2))</f>
        <v>224.22</v>
      </c>
      <c r="K228" s="185">
        <v>1</v>
      </c>
      <c r="L228" s="285"/>
    </row>
    <row r="229" spans="1:12" x14ac:dyDescent="0.2">
      <c r="A229" s="298" t="s">
        <v>774</v>
      </c>
      <c r="B229" s="299" t="s">
        <v>941</v>
      </c>
      <c r="C229" s="300" t="s">
        <v>978</v>
      </c>
      <c r="D229" s="301" t="s">
        <v>979</v>
      </c>
      <c r="E229" s="302" t="s">
        <v>980</v>
      </c>
      <c r="F229" s="299" t="s">
        <v>37</v>
      </c>
      <c r="G229" s="303">
        <f>IF(H229="","",ROUND(H229/$C$3,2))</f>
        <v>1.93</v>
      </c>
      <c r="H229" s="304">
        <v>40.61</v>
      </c>
      <c r="I229" s="305"/>
      <c r="J229" s="306">
        <f>IF(H229="","",ROUND(H229*(1+IF(I229="",0,I229)),2))</f>
        <v>40.61</v>
      </c>
      <c r="K229" s="307">
        <v>2</v>
      </c>
      <c r="L229" s="308"/>
    </row>
    <row r="230" spans="1:12" x14ac:dyDescent="0.2">
      <c r="A230" s="199" t="s">
        <v>774</v>
      </c>
      <c r="B230" s="171" t="s">
        <v>941</v>
      </c>
      <c r="C230" s="213" t="s">
        <v>981</v>
      </c>
      <c r="D230" s="227" t="s">
        <v>982</v>
      </c>
      <c r="E230" s="157" t="s">
        <v>983</v>
      </c>
      <c r="F230" s="171" t="s">
        <v>37</v>
      </c>
      <c r="G230" s="241">
        <f>IF(H230="","",ROUND(H230/$C$3,2))</f>
        <v>22.25</v>
      </c>
      <c r="H230" s="255">
        <v>469</v>
      </c>
      <c r="I230" s="269"/>
      <c r="J230" s="282">
        <f>IF(H230="","",ROUND(H230*(1+IF(I230="",0,I230)),2))</f>
        <v>469</v>
      </c>
      <c r="K230" s="185">
        <v>2</v>
      </c>
      <c r="L230" s="285"/>
    </row>
    <row r="231" spans="1:12" x14ac:dyDescent="0.2">
      <c r="A231" s="298" t="s">
        <v>774</v>
      </c>
      <c r="B231" s="299" t="s">
        <v>941</v>
      </c>
      <c r="C231" s="300" t="s">
        <v>984</v>
      </c>
      <c r="D231" s="301" t="s">
        <v>985</v>
      </c>
      <c r="E231" s="302" t="s">
        <v>986</v>
      </c>
      <c r="F231" s="299" t="s">
        <v>37</v>
      </c>
      <c r="G231" s="303">
        <f>IF(H231="","",ROUND(H231/$C$3,2))</f>
        <v>4.88</v>
      </c>
      <c r="H231" s="304">
        <v>102.82</v>
      </c>
      <c r="I231" s="305"/>
      <c r="J231" s="306">
        <f>IF(H231="","",ROUND(H231*(1+IF(I231="",0,I231)),2))</f>
        <v>102.82</v>
      </c>
      <c r="K231" s="307">
        <v>2</v>
      </c>
      <c r="L231" s="308"/>
    </row>
    <row r="232" spans="1:12" x14ac:dyDescent="0.2">
      <c r="A232" s="199" t="s">
        <v>774</v>
      </c>
      <c r="B232" s="171" t="s">
        <v>941</v>
      </c>
      <c r="C232" s="213" t="s">
        <v>987</v>
      </c>
      <c r="D232" s="227" t="s">
        <v>988</v>
      </c>
      <c r="E232" s="157" t="s">
        <v>989</v>
      </c>
      <c r="F232" s="171" t="s">
        <v>37</v>
      </c>
      <c r="G232" s="241">
        <f>IF(H232="","",ROUND(H232/$C$3,2))</f>
        <v>3.89</v>
      </c>
      <c r="H232" s="255">
        <v>82.02</v>
      </c>
      <c r="I232" s="269"/>
      <c r="J232" s="282">
        <f>IF(H232="","",ROUND(H232*(1+IF(I232="",0,I232)),2))</f>
        <v>82.02</v>
      </c>
      <c r="K232" s="185">
        <v>2</v>
      </c>
      <c r="L232" s="285"/>
    </row>
    <row r="233" spans="1:12" x14ac:dyDescent="0.2">
      <c r="A233" s="298" t="s">
        <v>774</v>
      </c>
      <c r="B233" s="299" t="s">
        <v>941</v>
      </c>
      <c r="C233" s="300" t="s">
        <v>990</v>
      </c>
      <c r="D233" s="301" t="s">
        <v>991</v>
      </c>
      <c r="E233" s="302" t="s">
        <v>992</v>
      </c>
      <c r="F233" s="299" t="s">
        <v>37</v>
      </c>
      <c r="G233" s="303">
        <f>IF(H233="","",ROUND(H233/$C$3,2))</f>
        <v>1.93</v>
      </c>
      <c r="H233" s="304">
        <v>40.61</v>
      </c>
      <c r="I233" s="305"/>
      <c r="J233" s="306">
        <f>IF(H233="","",ROUND(H233*(1+IF(I233="",0,I233)),2))</f>
        <v>40.61</v>
      </c>
      <c r="K233" s="307">
        <v>2</v>
      </c>
      <c r="L233" s="308"/>
    </row>
    <row r="234" spans="1:12" x14ac:dyDescent="0.2">
      <c r="A234" s="199" t="s">
        <v>774</v>
      </c>
      <c r="B234" s="171" t="s">
        <v>941</v>
      </c>
      <c r="C234" s="213" t="s">
        <v>993</v>
      </c>
      <c r="D234" s="227" t="s">
        <v>994</v>
      </c>
      <c r="E234" s="157" t="s">
        <v>995</v>
      </c>
      <c r="F234" s="171" t="s">
        <v>37</v>
      </c>
      <c r="G234" s="241">
        <f>IF(H234="","",ROUND(H234/$C$3,2))</f>
        <v>16.079999999999998</v>
      </c>
      <c r="H234" s="255">
        <v>338.9</v>
      </c>
      <c r="I234" s="269"/>
      <c r="J234" s="282">
        <f>IF(H234="","",ROUND(H234*(1+IF(I234="",0,I234)),2))</f>
        <v>338.9</v>
      </c>
      <c r="K234" s="185">
        <v>1</v>
      </c>
      <c r="L234" s="285"/>
    </row>
    <row r="235" spans="1:12" x14ac:dyDescent="0.2">
      <c r="A235" s="298" t="s">
        <v>774</v>
      </c>
      <c r="B235" s="299" t="s">
        <v>941</v>
      </c>
      <c r="C235" s="300" t="s">
        <v>996</v>
      </c>
      <c r="D235" s="301" t="s">
        <v>997</v>
      </c>
      <c r="E235" s="302" t="s">
        <v>998</v>
      </c>
      <c r="F235" s="299" t="s">
        <v>37</v>
      </c>
      <c r="G235" s="303">
        <f>IF(H235="","",ROUND(H235/$C$3,2))</f>
        <v>10.220000000000001</v>
      </c>
      <c r="H235" s="304">
        <v>215.42</v>
      </c>
      <c r="I235" s="305"/>
      <c r="J235" s="306">
        <f>IF(H235="","",ROUND(H235*(1+IF(I235="",0,I235)),2))</f>
        <v>215.42</v>
      </c>
      <c r="K235" s="307">
        <v>2</v>
      </c>
      <c r="L235" s="308"/>
    </row>
    <row r="236" spans="1:12" x14ac:dyDescent="0.2">
      <c r="A236" s="199" t="s">
        <v>774</v>
      </c>
      <c r="B236" s="171" t="s">
        <v>941</v>
      </c>
      <c r="C236" s="213" t="s">
        <v>999</v>
      </c>
      <c r="D236" s="227" t="s">
        <v>1000</v>
      </c>
      <c r="E236" s="157" t="s">
        <v>1001</v>
      </c>
      <c r="F236" s="171" t="s">
        <v>37</v>
      </c>
      <c r="G236" s="241">
        <f>IF(H236="","",ROUND(H236/$C$3,2))</f>
        <v>24</v>
      </c>
      <c r="H236" s="255">
        <v>505.93</v>
      </c>
      <c r="I236" s="269"/>
      <c r="J236" s="282">
        <f>IF(H236="","",ROUND(H236*(1+IF(I236="",0,I236)),2))</f>
        <v>505.93</v>
      </c>
      <c r="K236" s="185">
        <v>2</v>
      </c>
      <c r="L236" s="285"/>
    </row>
    <row r="237" spans="1:12" x14ac:dyDescent="0.2">
      <c r="A237" s="298" t="s">
        <v>774</v>
      </c>
      <c r="B237" s="299" t="s">
        <v>941</v>
      </c>
      <c r="C237" s="300" t="s">
        <v>1002</v>
      </c>
      <c r="D237" s="301" t="s">
        <v>1003</v>
      </c>
      <c r="E237" s="302" t="s">
        <v>1004</v>
      </c>
      <c r="F237" s="299" t="s">
        <v>37</v>
      </c>
      <c r="G237" s="303">
        <f>IF(H237="","",ROUND(H237/$C$3,2))</f>
        <v>2.91</v>
      </c>
      <c r="H237" s="304">
        <v>61.35</v>
      </c>
      <c r="I237" s="305"/>
      <c r="J237" s="306">
        <f>IF(H237="","",ROUND(H237*(1+IF(I237="",0,I237)),2))</f>
        <v>61.35</v>
      </c>
      <c r="K237" s="307">
        <v>2</v>
      </c>
      <c r="L237" s="308"/>
    </row>
    <row r="238" spans="1:12" x14ac:dyDescent="0.2">
      <c r="A238" s="199" t="s">
        <v>774</v>
      </c>
      <c r="B238" s="171" t="s">
        <v>941</v>
      </c>
      <c r="C238" s="213" t="s">
        <v>1005</v>
      </c>
      <c r="D238" s="227" t="s">
        <v>1006</v>
      </c>
      <c r="E238" s="157" t="s">
        <v>1007</v>
      </c>
      <c r="F238" s="171" t="s">
        <v>37</v>
      </c>
      <c r="G238" s="241">
        <f>IF(H238="","",ROUND(H238/$C$3,2))</f>
        <v>16.59</v>
      </c>
      <c r="H238" s="255">
        <v>349.82</v>
      </c>
      <c r="I238" s="269"/>
      <c r="J238" s="282">
        <f>IF(H238="","",ROUND(H238*(1+IF(I238="",0,I238)),2))</f>
        <v>349.82</v>
      </c>
      <c r="K238" s="185">
        <v>2</v>
      </c>
      <c r="L238" s="285"/>
    </row>
    <row r="239" spans="1:12" x14ac:dyDescent="0.2">
      <c r="A239" s="298" t="s">
        <v>774</v>
      </c>
      <c r="B239" s="299" t="s">
        <v>941</v>
      </c>
      <c r="C239" s="300" t="s">
        <v>1008</v>
      </c>
      <c r="D239" s="301" t="s">
        <v>1009</v>
      </c>
      <c r="E239" s="302" t="s">
        <v>1010</v>
      </c>
      <c r="F239" s="299" t="s">
        <v>37</v>
      </c>
      <c r="G239" s="303">
        <f>IF(H239="","",ROUND(H239/$C$3,2))</f>
        <v>28.9</v>
      </c>
      <c r="H239" s="304">
        <v>609.27</v>
      </c>
      <c r="I239" s="305"/>
      <c r="J239" s="306">
        <f>IF(H239="","",ROUND(H239*(1+IF(I239="",0,I239)),2))</f>
        <v>609.27</v>
      </c>
      <c r="K239" s="307">
        <v>2</v>
      </c>
      <c r="L239" s="308"/>
    </row>
    <row r="240" spans="1:12" x14ac:dyDescent="0.2">
      <c r="A240" s="199" t="s">
        <v>774</v>
      </c>
      <c r="B240" s="171" t="s">
        <v>941</v>
      </c>
      <c r="C240" s="213" t="s">
        <v>1011</v>
      </c>
      <c r="D240" s="227" t="s">
        <v>1012</v>
      </c>
      <c r="E240" s="157" t="s">
        <v>1013</v>
      </c>
      <c r="F240" s="171" t="s">
        <v>37</v>
      </c>
      <c r="G240" s="241">
        <f>IF(H240="","",ROUND(H240/$C$3,2))</f>
        <v>38.03</v>
      </c>
      <c r="H240" s="255">
        <v>801.58</v>
      </c>
      <c r="I240" s="269"/>
      <c r="J240" s="282">
        <f>IF(H240="","",ROUND(H240*(1+IF(I240="",0,I240)),2))</f>
        <v>801.58</v>
      </c>
      <c r="K240" s="185">
        <v>2</v>
      </c>
      <c r="L240" s="285"/>
    </row>
    <row r="241" spans="1:12" x14ac:dyDescent="0.2">
      <c r="A241" s="298" t="s">
        <v>774</v>
      </c>
      <c r="B241" s="299" t="s">
        <v>941</v>
      </c>
      <c r="C241" s="300" t="s">
        <v>1014</v>
      </c>
      <c r="D241" s="301" t="s">
        <v>1015</v>
      </c>
      <c r="E241" s="302" t="s">
        <v>1016</v>
      </c>
      <c r="F241" s="299" t="s">
        <v>37</v>
      </c>
      <c r="G241" s="303">
        <f>IF(H241="","",ROUND(H241/$C$3,2))</f>
        <v>92.36</v>
      </c>
      <c r="H241" s="304">
        <v>1947</v>
      </c>
      <c r="I241" s="305"/>
      <c r="J241" s="306">
        <f>IF(H241="","",ROUND(H241*(1+IF(I241="",0,I241)),2))</f>
        <v>1947</v>
      </c>
      <c r="K241" s="307">
        <v>1</v>
      </c>
      <c r="L241" s="308"/>
    </row>
    <row r="242" spans="1:12" x14ac:dyDescent="0.2">
      <c r="A242" s="199" t="s">
        <v>774</v>
      </c>
      <c r="B242" s="171" t="s">
        <v>1017</v>
      </c>
      <c r="C242" s="213" t="s">
        <v>1018</v>
      </c>
      <c r="D242" s="227" t="s">
        <v>1019</v>
      </c>
      <c r="E242" s="157" t="s">
        <v>1020</v>
      </c>
      <c r="F242" s="171" t="s">
        <v>37</v>
      </c>
      <c r="G242" s="241">
        <f>IF(H242="","",ROUND(H242/$C$3,2))</f>
        <v>0.77</v>
      </c>
      <c r="H242" s="255">
        <v>16.329999999999998</v>
      </c>
      <c r="I242" s="269"/>
      <c r="J242" s="282">
        <f>IF(H242="","",ROUND(H242*(1+IF(I242="",0,I242)),2))</f>
        <v>16.329999999999998</v>
      </c>
      <c r="K242" s="185">
        <v>2</v>
      </c>
      <c r="L242" s="285"/>
    </row>
    <row r="243" spans="1:12" x14ac:dyDescent="0.2">
      <c r="A243" s="298" t="s">
        <v>774</v>
      </c>
      <c r="B243" s="299" t="s">
        <v>647</v>
      </c>
      <c r="C243" s="300" t="s">
        <v>1021</v>
      </c>
      <c r="D243" s="301" t="s">
        <v>916</v>
      </c>
      <c r="E243" s="302" t="s">
        <v>1022</v>
      </c>
      <c r="F243" s="299" t="s">
        <v>37</v>
      </c>
      <c r="G243" s="303">
        <f>IF(H243="","",ROUND(H243/$C$3,2))</f>
        <v>17.54</v>
      </c>
      <c r="H243" s="304">
        <v>369.8</v>
      </c>
      <c r="I243" s="305"/>
      <c r="J243" s="306">
        <f>IF(H243="","",ROUND(H243*(1+IF(I243="",0,I243)),2))</f>
        <v>369.8</v>
      </c>
      <c r="K243" s="307"/>
      <c r="L243" s="308"/>
    </row>
    <row r="244" spans="1:12" x14ac:dyDescent="0.2">
      <c r="A244" s="199" t="s">
        <v>774</v>
      </c>
      <c r="B244" s="171" t="s">
        <v>647</v>
      </c>
      <c r="C244" s="213" t="s">
        <v>1023</v>
      </c>
      <c r="D244" s="227" t="s">
        <v>1024</v>
      </c>
      <c r="E244" s="157" t="s">
        <v>1025</v>
      </c>
      <c r="F244" s="171" t="s">
        <v>37</v>
      </c>
      <c r="G244" s="241">
        <f>IF(H244="","",ROUND(H244/$C$3,2))</f>
        <v>12.57</v>
      </c>
      <c r="H244" s="255">
        <v>264.98</v>
      </c>
      <c r="I244" s="269"/>
      <c r="J244" s="282">
        <f>IF(H244="","",ROUND(H244*(1+IF(I244="",0,I244)),2))</f>
        <v>264.98</v>
      </c>
      <c r="K244" s="185">
        <v>2</v>
      </c>
      <c r="L244" s="285"/>
    </row>
    <row r="245" spans="1:12" x14ac:dyDescent="0.2">
      <c r="A245" s="298" t="s">
        <v>774</v>
      </c>
      <c r="B245" s="299" t="s">
        <v>647</v>
      </c>
      <c r="C245" s="300" t="s">
        <v>1026</v>
      </c>
      <c r="D245" s="301" t="s">
        <v>1027</v>
      </c>
      <c r="E245" s="302" t="s">
        <v>1028</v>
      </c>
      <c r="F245" s="299" t="s">
        <v>37</v>
      </c>
      <c r="G245" s="303">
        <f>IF(H245="","",ROUND(H245/$C$3,2))</f>
        <v>18.09</v>
      </c>
      <c r="H245" s="304">
        <v>381.32</v>
      </c>
      <c r="I245" s="305"/>
      <c r="J245" s="306">
        <f>IF(H245="","",ROUND(H245*(1+IF(I245="",0,I245)),2))</f>
        <v>381.32</v>
      </c>
      <c r="K245" s="307">
        <v>2</v>
      </c>
      <c r="L245" s="308"/>
    </row>
    <row r="246" spans="1:12" x14ac:dyDescent="0.2">
      <c r="A246" s="199" t="s">
        <v>774</v>
      </c>
      <c r="B246" s="171" t="s">
        <v>647</v>
      </c>
      <c r="C246" s="213" t="s">
        <v>1029</v>
      </c>
      <c r="D246" s="227" t="s">
        <v>1030</v>
      </c>
      <c r="E246" s="157" t="s">
        <v>1031</v>
      </c>
      <c r="F246" s="171" t="s">
        <v>37</v>
      </c>
      <c r="G246" s="241">
        <f>IF(H246="","",ROUND(H246/$C$3,2))</f>
        <v>4.45</v>
      </c>
      <c r="H246" s="255">
        <v>93.71</v>
      </c>
      <c r="I246" s="269"/>
      <c r="J246" s="282">
        <f>IF(H246="","",ROUND(H246*(1+IF(I246="",0,I246)),2))</f>
        <v>93.71</v>
      </c>
      <c r="K246" s="185">
        <v>2</v>
      </c>
      <c r="L246" s="285"/>
    </row>
    <row r="247" spans="1:12" x14ac:dyDescent="0.2">
      <c r="A247" s="298" t="s">
        <v>774</v>
      </c>
      <c r="B247" s="299" t="s">
        <v>647</v>
      </c>
      <c r="C247" s="300" t="s">
        <v>1032</v>
      </c>
      <c r="D247" s="301" t="s">
        <v>1033</v>
      </c>
      <c r="E247" s="302" t="s">
        <v>1034</v>
      </c>
      <c r="F247" s="299" t="s">
        <v>37</v>
      </c>
      <c r="G247" s="303">
        <f>IF(H247="","",ROUND(H247/$C$3,2))</f>
        <v>10.59</v>
      </c>
      <c r="H247" s="304">
        <v>223.22</v>
      </c>
      <c r="I247" s="305"/>
      <c r="J247" s="306">
        <f>IF(H247="","",ROUND(H247*(1+IF(I247="",0,I247)),2))</f>
        <v>223.22</v>
      </c>
      <c r="K247" s="307">
        <v>2</v>
      </c>
      <c r="L247" s="308"/>
    </row>
    <row r="248" spans="1:12" x14ac:dyDescent="0.2">
      <c r="A248" s="199" t="s">
        <v>774</v>
      </c>
      <c r="B248" s="171" t="s">
        <v>647</v>
      </c>
      <c r="C248" s="213" t="s">
        <v>1035</v>
      </c>
      <c r="D248" s="227" t="s">
        <v>1036</v>
      </c>
      <c r="E248" s="157" t="s">
        <v>1037</v>
      </c>
      <c r="F248" s="171" t="s">
        <v>37</v>
      </c>
      <c r="G248" s="241">
        <f>IF(H248="","",ROUND(H248/$C$3,2))</f>
        <v>5.03</v>
      </c>
      <c r="H248" s="255">
        <v>106.08</v>
      </c>
      <c r="I248" s="269"/>
      <c r="J248" s="282">
        <f>IF(H248="","",ROUND(H248*(1+IF(I248="",0,I248)),2))</f>
        <v>106.08</v>
      </c>
      <c r="K248" s="185">
        <v>2</v>
      </c>
      <c r="L248" s="285"/>
    </row>
    <row r="249" spans="1:12" x14ac:dyDescent="0.2">
      <c r="A249" s="298" t="s">
        <v>774</v>
      </c>
      <c r="B249" s="299" t="s">
        <v>647</v>
      </c>
      <c r="C249" s="300" t="s">
        <v>1038</v>
      </c>
      <c r="D249" s="301" t="s">
        <v>1039</v>
      </c>
      <c r="E249" s="302" t="s">
        <v>1040</v>
      </c>
      <c r="F249" s="299" t="s">
        <v>37</v>
      </c>
      <c r="G249" s="303">
        <f>IF(H249="","",ROUND(H249/$C$3,2))</f>
        <v>15.59</v>
      </c>
      <c r="H249" s="304">
        <v>328.55</v>
      </c>
      <c r="I249" s="305"/>
      <c r="J249" s="306">
        <f>IF(H249="","",ROUND(H249*(1+IF(I249="",0,I249)),2))</f>
        <v>328.55</v>
      </c>
      <c r="K249" s="307">
        <v>2</v>
      </c>
      <c r="L249" s="308"/>
    </row>
    <row r="250" spans="1:12" x14ac:dyDescent="0.2">
      <c r="A250" s="199" t="s">
        <v>774</v>
      </c>
      <c r="B250" s="171" t="s">
        <v>647</v>
      </c>
      <c r="C250" s="213" t="s">
        <v>1041</v>
      </c>
      <c r="D250" s="227" t="s">
        <v>1042</v>
      </c>
      <c r="E250" s="157" t="s">
        <v>1043</v>
      </c>
      <c r="F250" s="171" t="s">
        <v>37</v>
      </c>
      <c r="G250" s="241">
        <f>IF(H250="","",ROUND(H250/$C$3,2))</f>
        <v>10.8</v>
      </c>
      <c r="H250" s="255">
        <v>227.71</v>
      </c>
      <c r="I250" s="269"/>
      <c r="J250" s="282">
        <f>IF(H250="","",ROUND(H250*(1+IF(I250="",0,I250)),2))</f>
        <v>227.71</v>
      </c>
      <c r="K250" s="185">
        <v>2</v>
      </c>
      <c r="L250" s="285"/>
    </row>
    <row r="251" spans="1:12" x14ac:dyDescent="0.2">
      <c r="A251" s="298" t="s">
        <v>774</v>
      </c>
      <c r="B251" s="299" t="s">
        <v>647</v>
      </c>
      <c r="C251" s="300" t="s">
        <v>1044</v>
      </c>
      <c r="D251" s="301" t="s">
        <v>1045</v>
      </c>
      <c r="E251" s="302" t="s">
        <v>1046</v>
      </c>
      <c r="F251" s="299" t="s">
        <v>37</v>
      </c>
      <c r="G251" s="303">
        <f>IF(H251="","",ROUND(H251/$C$3,2))</f>
        <v>2.88</v>
      </c>
      <c r="H251" s="304">
        <v>60.72</v>
      </c>
      <c r="I251" s="305"/>
      <c r="J251" s="306">
        <f>IF(H251="","",ROUND(H251*(1+IF(I251="",0,I251)),2))</f>
        <v>60.72</v>
      </c>
      <c r="K251" s="307">
        <v>2</v>
      </c>
      <c r="L251" s="308"/>
    </row>
    <row r="252" spans="1:12" x14ac:dyDescent="0.2">
      <c r="A252" s="199" t="s">
        <v>774</v>
      </c>
      <c r="B252" s="171" t="s">
        <v>1047</v>
      </c>
      <c r="C252" s="213" t="s">
        <v>1048</v>
      </c>
      <c r="D252" s="227" t="s">
        <v>1049</v>
      </c>
      <c r="E252" s="157" t="s">
        <v>1050</v>
      </c>
      <c r="F252" s="171" t="s">
        <v>37</v>
      </c>
      <c r="G252" s="241">
        <f>IF(H252="","",ROUND(H252/$C$3,2))</f>
        <v>32.82</v>
      </c>
      <c r="H252" s="255">
        <v>691.84</v>
      </c>
      <c r="I252" s="269"/>
      <c r="J252" s="282">
        <f>IF(H252="","",ROUND(H252*(1+IF(I252="",0,I252)),2))</f>
        <v>691.84</v>
      </c>
      <c r="K252" s="185">
        <v>2</v>
      </c>
      <c r="L252" s="285"/>
    </row>
    <row r="253" spans="1:12" x14ac:dyDescent="0.2">
      <c r="A253" s="298" t="s">
        <v>774</v>
      </c>
      <c r="B253" s="299" t="s">
        <v>1051</v>
      </c>
      <c r="C253" s="300" t="s">
        <v>1052</v>
      </c>
      <c r="D253" s="301" t="s">
        <v>1053</v>
      </c>
      <c r="E253" s="302" t="s">
        <v>1054</v>
      </c>
      <c r="F253" s="299" t="s">
        <v>37</v>
      </c>
      <c r="G253" s="303">
        <f>IF(H253="","",ROUND(H253/$C$3,2))</f>
        <v>57.59</v>
      </c>
      <c r="H253" s="304">
        <v>1214.06</v>
      </c>
      <c r="I253" s="305"/>
      <c r="J253" s="306">
        <f>IF(H253="","",ROUND(H253*(1+IF(I253="",0,I253)),2))</f>
        <v>1214.06</v>
      </c>
      <c r="K253" s="307">
        <v>2</v>
      </c>
      <c r="L253" s="308"/>
    </row>
    <row r="254" spans="1:12" x14ac:dyDescent="0.2">
      <c r="A254" s="199"/>
      <c r="B254" s="171"/>
      <c r="C254" s="213"/>
      <c r="D254" s="227"/>
      <c r="E254" s="157"/>
      <c r="F254" s="171"/>
      <c r="G254" s="241"/>
      <c r="H254" s="255"/>
      <c r="I254" s="269"/>
      <c r="J254" s="282"/>
      <c r="K254" s="185"/>
      <c r="L254" s="285"/>
    </row>
    <row r="255" spans="1:12" ht="22" customHeight="1" x14ac:dyDescent="0.2">
      <c r="A255" s="207" t="s">
        <v>1055</v>
      </c>
      <c r="B255" s="179"/>
      <c r="C255" s="221"/>
      <c r="D255" s="235"/>
      <c r="E255" s="165"/>
      <c r="F255" s="179"/>
      <c r="G255" s="249"/>
      <c r="H255" s="263"/>
      <c r="I255" s="277"/>
      <c r="J255" s="249"/>
      <c r="K255" s="193"/>
      <c r="L255" s="293"/>
    </row>
    <row r="256" spans="1:12" x14ac:dyDescent="0.2">
      <c r="A256" s="298" t="s">
        <v>1056</v>
      </c>
      <c r="B256" s="299" t="s">
        <v>144</v>
      </c>
      <c r="C256" s="300" t="s">
        <v>1057</v>
      </c>
      <c r="D256" s="301" t="s">
        <v>1058</v>
      </c>
      <c r="E256" s="302" t="s">
        <v>1059</v>
      </c>
      <c r="F256" s="299" t="s">
        <v>37</v>
      </c>
      <c r="G256" s="303">
        <f>IF(H256="","",ROUND(H256/$C$3,2))</f>
        <v>1.19</v>
      </c>
      <c r="H256" s="304">
        <v>25</v>
      </c>
      <c r="I256" s="305"/>
      <c r="J256" s="306">
        <f>IF(H256="","",ROUND(H256*(1+IF(I256="",0,I256)),2))</f>
        <v>25</v>
      </c>
      <c r="K256" s="307">
        <v>2</v>
      </c>
      <c r="L256" s="308"/>
    </row>
    <row r="257" spans="1:12" x14ac:dyDescent="0.2">
      <c r="A257" s="199" t="s">
        <v>1056</v>
      </c>
      <c r="B257" s="171" t="s">
        <v>1060</v>
      </c>
      <c r="C257" s="213" t="s">
        <v>1061</v>
      </c>
      <c r="D257" s="227" t="s">
        <v>1062</v>
      </c>
      <c r="E257" s="157" t="s">
        <v>1063</v>
      </c>
      <c r="F257" s="171" t="s">
        <v>149</v>
      </c>
      <c r="G257" s="241">
        <f>IF(H257="","",ROUND(H257/$C$3,2))</f>
        <v>0.71</v>
      </c>
      <c r="H257" s="255">
        <v>15</v>
      </c>
      <c r="I257" s="269"/>
      <c r="J257" s="282">
        <f>IF(H257="","",ROUND(H257*(1+IF(I257="",0,I257)),2))</f>
        <v>15</v>
      </c>
      <c r="K257" s="185">
        <v>1</v>
      </c>
      <c r="L257" s="285"/>
    </row>
    <row r="258" spans="1:12" x14ac:dyDescent="0.2">
      <c r="A258" s="298" t="s">
        <v>1056</v>
      </c>
      <c r="B258" s="299" t="s">
        <v>1064</v>
      </c>
      <c r="C258" s="300" t="s">
        <v>1065</v>
      </c>
      <c r="D258" s="301" t="s">
        <v>1066</v>
      </c>
      <c r="E258" s="302" t="s">
        <v>1067</v>
      </c>
      <c r="F258" s="299" t="s">
        <v>37</v>
      </c>
      <c r="G258" s="303">
        <f>IF(H258="","",ROUND(H258/$C$3,2))</f>
        <v>5.31</v>
      </c>
      <c r="H258" s="304">
        <v>112</v>
      </c>
      <c r="I258" s="305"/>
      <c r="J258" s="306">
        <f>IF(H258="","",ROUND(H258*(1+IF(I258="",0,I258)),2))</f>
        <v>112</v>
      </c>
      <c r="K258" s="307">
        <v>2</v>
      </c>
      <c r="L258" s="308"/>
    </row>
    <row r="259" spans="1:12" x14ac:dyDescent="0.2">
      <c r="A259" s="199" t="s">
        <v>1056</v>
      </c>
      <c r="B259" s="171" t="s">
        <v>1064</v>
      </c>
      <c r="C259" s="213" t="s">
        <v>1068</v>
      </c>
      <c r="D259" s="227" t="s">
        <v>1069</v>
      </c>
      <c r="E259" s="157" t="s">
        <v>1070</v>
      </c>
      <c r="F259" s="171" t="s">
        <v>37</v>
      </c>
      <c r="G259" s="241">
        <f>IF(H259="","",ROUND(H259/$C$3,2))</f>
        <v>5.46</v>
      </c>
      <c r="H259" s="255">
        <v>115</v>
      </c>
      <c r="I259" s="269"/>
      <c r="J259" s="282">
        <f>IF(H259="","",ROUND(H259*(1+IF(I259="",0,I259)),2))</f>
        <v>115</v>
      </c>
      <c r="K259" s="185">
        <v>2</v>
      </c>
      <c r="L259" s="285"/>
    </row>
    <row r="260" spans="1:12" x14ac:dyDescent="0.2">
      <c r="A260" s="298" t="s">
        <v>1056</v>
      </c>
      <c r="B260" s="299" t="s">
        <v>1071</v>
      </c>
      <c r="C260" s="300" t="s">
        <v>1072</v>
      </c>
      <c r="D260" s="301" t="s">
        <v>1073</v>
      </c>
      <c r="E260" s="302" t="s">
        <v>1074</v>
      </c>
      <c r="F260" s="299" t="s">
        <v>37</v>
      </c>
      <c r="G260" s="303">
        <f>IF(H260="","",ROUND(H260/$C$3,2))</f>
        <v>75.900000000000006</v>
      </c>
      <c r="H260" s="304">
        <v>1600</v>
      </c>
      <c r="I260" s="305"/>
      <c r="J260" s="306">
        <f>IF(H260="","",ROUND(H260*(1+IF(I260="",0,I260)),2))</f>
        <v>1600</v>
      </c>
      <c r="K260" s="307">
        <v>2</v>
      </c>
      <c r="L260" s="308"/>
    </row>
    <row r="261" spans="1:12" x14ac:dyDescent="0.2">
      <c r="A261" s="199" t="s">
        <v>1056</v>
      </c>
      <c r="B261" s="171" t="s">
        <v>1071</v>
      </c>
      <c r="C261" s="213" t="s">
        <v>1075</v>
      </c>
      <c r="D261" s="227" t="s">
        <v>1076</v>
      </c>
      <c r="E261" s="157" t="s">
        <v>1077</v>
      </c>
      <c r="F261" s="171" t="s">
        <v>37</v>
      </c>
      <c r="G261" s="241">
        <f>IF(H261="","",ROUND(H261/$C$3,2))</f>
        <v>66.41</v>
      </c>
      <c r="H261" s="255">
        <v>1400</v>
      </c>
      <c r="I261" s="269"/>
      <c r="J261" s="282">
        <f>IF(H261="","",ROUND(H261*(1+IF(I261="",0,I261)),2))</f>
        <v>1400</v>
      </c>
      <c r="K261" s="185">
        <v>2</v>
      </c>
      <c r="L261" s="285"/>
    </row>
    <row r="262" spans="1:12" x14ac:dyDescent="0.2">
      <c r="A262" s="298" t="s">
        <v>1056</v>
      </c>
      <c r="B262" s="299" t="s">
        <v>1071</v>
      </c>
      <c r="C262" s="300" t="s">
        <v>1078</v>
      </c>
      <c r="D262" s="301" t="s">
        <v>1079</v>
      </c>
      <c r="E262" s="302" t="s">
        <v>1080</v>
      </c>
      <c r="F262" s="299" t="s">
        <v>37</v>
      </c>
      <c r="G262" s="303">
        <f>IF(H262="","",ROUND(H262/$C$3,2))</f>
        <v>0.43</v>
      </c>
      <c r="H262" s="304">
        <v>9</v>
      </c>
      <c r="I262" s="305"/>
      <c r="J262" s="306">
        <f>IF(H262="","",ROUND(H262*(1+IF(I262="",0,I262)),2))</f>
        <v>9</v>
      </c>
      <c r="K262" s="307">
        <v>1</v>
      </c>
      <c r="L262" s="308"/>
    </row>
    <row r="263" spans="1:12" x14ac:dyDescent="0.2">
      <c r="A263" s="199" t="s">
        <v>1056</v>
      </c>
      <c r="B263" s="171" t="s">
        <v>1081</v>
      </c>
      <c r="C263" s="213" t="s">
        <v>1082</v>
      </c>
      <c r="D263" s="227" t="s">
        <v>1083</v>
      </c>
      <c r="E263" s="157" t="s">
        <v>1084</v>
      </c>
      <c r="F263" s="171" t="s">
        <v>149</v>
      </c>
      <c r="G263" s="241">
        <f>IF(H263="","",ROUND(H263/$C$3,2))</f>
        <v>5.69</v>
      </c>
      <c r="H263" s="255">
        <v>120</v>
      </c>
      <c r="I263" s="269"/>
      <c r="J263" s="282">
        <f>IF(H263="","",ROUND(H263*(1+IF(I263="",0,I263)),2))</f>
        <v>120</v>
      </c>
      <c r="K263" s="185">
        <v>1</v>
      </c>
      <c r="L263" s="285"/>
    </row>
    <row r="264" spans="1:12" x14ac:dyDescent="0.2">
      <c r="A264" s="298" t="s">
        <v>1056</v>
      </c>
      <c r="B264" s="299" t="s">
        <v>1085</v>
      </c>
      <c r="C264" s="300" t="s">
        <v>1086</v>
      </c>
      <c r="D264" s="301" t="s">
        <v>1087</v>
      </c>
      <c r="E264" s="302" t="s">
        <v>1088</v>
      </c>
      <c r="F264" s="299" t="s">
        <v>37</v>
      </c>
      <c r="G264" s="303">
        <f>IF(H264="","",ROUND(H264/$C$3,2))</f>
        <v>25.61</v>
      </c>
      <c r="H264" s="304">
        <v>539.80999999999995</v>
      </c>
      <c r="I264" s="305"/>
      <c r="J264" s="306">
        <f>IF(H264="","",ROUND(H264*(1+IF(I264="",0,I264)),2))</f>
        <v>539.80999999999995</v>
      </c>
      <c r="K264" s="307">
        <v>2</v>
      </c>
      <c r="L264" s="308"/>
    </row>
    <row r="265" spans="1:12" x14ac:dyDescent="0.2">
      <c r="A265" s="199" t="s">
        <v>1056</v>
      </c>
      <c r="B265" s="171" t="s">
        <v>1085</v>
      </c>
      <c r="C265" s="213" t="s">
        <v>1089</v>
      </c>
      <c r="D265" s="227" t="s">
        <v>1090</v>
      </c>
      <c r="E265" s="157" t="s">
        <v>1091</v>
      </c>
      <c r="F265" s="171" t="s">
        <v>37</v>
      </c>
      <c r="G265" s="241">
        <f>IF(H265="","",ROUND(H265/$C$3,2))</f>
        <v>25.61</v>
      </c>
      <c r="H265" s="255">
        <v>539.80999999999995</v>
      </c>
      <c r="I265" s="269"/>
      <c r="J265" s="282">
        <f>IF(H265="","",ROUND(H265*(1+IF(I265="",0,I265)),2))</f>
        <v>539.80999999999995</v>
      </c>
      <c r="K265" s="185">
        <v>2</v>
      </c>
      <c r="L265" s="285"/>
    </row>
    <row r="266" spans="1:12" x14ac:dyDescent="0.2">
      <c r="A266" s="298" t="s">
        <v>1056</v>
      </c>
      <c r="B266" s="299" t="s">
        <v>1085</v>
      </c>
      <c r="C266" s="300" t="s">
        <v>1092</v>
      </c>
      <c r="D266" s="301" t="s">
        <v>1093</v>
      </c>
      <c r="E266" s="302" t="s">
        <v>1094</v>
      </c>
      <c r="F266" s="299" t="s">
        <v>37</v>
      </c>
      <c r="G266" s="303">
        <f>IF(H266="","",ROUND(H266/$C$3,2))</f>
        <v>25.61</v>
      </c>
      <c r="H266" s="304">
        <v>539.80999999999995</v>
      </c>
      <c r="I266" s="305"/>
      <c r="J266" s="306">
        <f>IF(H266="","",ROUND(H266*(1+IF(I266="",0,I266)),2))</f>
        <v>539.80999999999995</v>
      </c>
      <c r="K266" s="307">
        <v>2</v>
      </c>
      <c r="L266" s="308"/>
    </row>
    <row r="267" spans="1:12" x14ac:dyDescent="0.2">
      <c r="A267" s="199" t="s">
        <v>1056</v>
      </c>
      <c r="B267" s="171" t="s">
        <v>1085</v>
      </c>
      <c r="C267" s="213" t="s">
        <v>1095</v>
      </c>
      <c r="D267" s="227" t="s">
        <v>1096</v>
      </c>
      <c r="E267" s="157" t="s">
        <v>1097</v>
      </c>
      <c r="F267" s="171" t="s">
        <v>37</v>
      </c>
      <c r="G267" s="241">
        <f>IF(H267="","",ROUND(H267/$C$3,2))</f>
        <v>25.61</v>
      </c>
      <c r="H267" s="255">
        <v>539.80999999999995</v>
      </c>
      <c r="I267" s="269"/>
      <c r="J267" s="282">
        <f>IF(H267="","",ROUND(H267*(1+IF(I267="",0,I267)),2))</f>
        <v>539.80999999999995</v>
      </c>
      <c r="K267" s="185">
        <v>2</v>
      </c>
      <c r="L267" s="285"/>
    </row>
    <row r="268" spans="1:12" x14ac:dyDescent="0.2">
      <c r="A268" s="298" t="s">
        <v>1056</v>
      </c>
      <c r="B268" s="299" t="s">
        <v>1085</v>
      </c>
      <c r="C268" s="300" t="s">
        <v>1098</v>
      </c>
      <c r="D268" s="301" t="s">
        <v>1099</v>
      </c>
      <c r="E268" s="302" t="s">
        <v>1100</v>
      </c>
      <c r="F268" s="299" t="s">
        <v>37</v>
      </c>
      <c r="G268" s="303">
        <f>IF(H268="","",ROUND(H268/$C$3,2))</f>
        <v>25.61</v>
      </c>
      <c r="H268" s="304">
        <v>539.80999999999995</v>
      </c>
      <c r="I268" s="305"/>
      <c r="J268" s="306">
        <f>IF(H268="","",ROUND(H268*(1+IF(I268="",0,I268)),2))</f>
        <v>539.80999999999995</v>
      </c>
      <c r="K268" s="307">
        <v>2</v>
      </c>
      <c r="L268" s="308"/>
    </row>
    <row r="269" spans="1:12" x14ac:dyDescent="0.2">
      <c r="A269" s="199" t="s">
        <v>1056</v>
      </c>
      <c r="B269" s="171" t="s">
        <v>1085</v>
      </c>
      <c r="C269" s="213" t="s">
        <v>1101</v>
      </c>
      <c r="D269" s="227" t="s">
        <v>1102</v>
      </c>
      <c r="E269" s="157" t="s">
        <v>1103</v>
      </c>
      <c r="F269" s="171" t="s">
        <v>37</v>
      </c>
      <c r="G269" s="241">
        <f>IF(H269="","",ROUND(H269/$C$3,2))</f>
        <v>25.61</v>
      </c>
      <c r="H269" s="255">
        <v>539.80999999999995</v>
      </c>
      <c r="I269" s="269"/>
      <c r="J269" s="282">
        <f>IF(H269="","",ROUND(H269*(1+IF(I269="",0,I269)),2))</f>
        <v>539.80999999999995</v>
      </c>
      <c r="K269" s="185">
        <v>2</v>
      </c>
      <c r="L269" s="285"/>
    </row>
    <row r="270" spans="1:12" x14ac:dyDescent="0.2">
      <c r="A270" s="298" t="s">
        <v>1056</v>
      </c>
      <c r="B270" s="299" t="s">
        <v>1104</v>
      </c>
      <c r="C270" s="300" t="s">
        <v>1105</v>
      </c>
      <c r="D270" s="301" t="s">
        <v>1106</v>
      </c>
      <c r="E270" s="302" t="s">
        <v>1107</v>
      </c>
      <c r="F270" s="299" t="s">
        <v>37</v>
      </c>
      <c r="G270" s="303">
        <f>IF(H270="","",ROUND(H270/$C$3,2))</f>
        <v>17.309999999999999</v>
      </c>
      <c r="H270" s="304">
        <v>365</v>
      </c>
      <c r="I270" s="305"/>
      <c r="J270" s="306">
        <f>IF(H270="","",ROUND(H270*(1+IF(I270="",0,I270)),2))</f>
        <v>365</v>
      </c>
      <c r="K270" s="307">
        <v>1</v>
      </c>
      <c r="L270" s="308"/>
    </row>
    <row r="271" spans="1:12" x14ac:dyDescent="0.2">
      <c r="A271" s="199" t="s">
        <v>1056</v>
      </c>
      <c r="B271" s="171" t="s">
        <v>1104</v>
      </c>
      <c r="C271" s="213" t="s">
        <v>1108</v>
      </c>
      <c r="D271" s="227" t="s">
        <v>1109</v>
      </c>
      <c r="E271" s="157" t="s">
        <v>1110</v>
      </c>
      <c r="F271" s="171" t="s">
        <v>37</v>
      </c>
      <c r="G271" s="241">
        <f>IF(H271="","",ROUND(H271/$C$3,2))</f>
        <v>42.22</v>
      </c>
      <c r="H271" s="255">
        <v>890</v>
      </c>
      <c r="I271" s="269"/>
      <c r="J271" s="282">
        <f>IF(H271="","",ROUND(H271*(1+IF(I271="",0,I271)),2))</f>
        <v>890</v>
      </c>
      <c r="K271" s="185">
        <v>2</v>
      </c>
      <c r="L271" s="285"/>
    </row>
    <row r="272" spans="1:12" x14ac:dyDescent="0.2">
      <c r="A272" s="298" t="s">
        <v>1056</v>
      </c>
      <c r="B272" s="299" t="s">
        <v>1111</v>
      </c>
      <c r="C272" s="300" t="s">
        <v>1112</v>
      </c>
      <c r="D272" s="301" t="s">
        <v>1113</v>
      </c>
      <c r="E272" s="302" t="s">
        <v>1114</v>
      </c>
      <c r="F272" s="299" t="s">
        <v>37</v>
      </c>
      <c r="G272" s="303">
        <f>IF(H272="","",ROUND(H272/$C$3,2))</f>
        <v>18.41</v>
      </c>
      <c r="H272" s="304">
        <v>388</v>
      </c>
      <c r="I272" s="305"/>
      <c r="J272" s="306">
        <f>IF(H272="","",ROUND(H272*(1+IF(I272="",0,I272)),2))</f>
        <v>388</v>
      </c>
      <c r="K272" s="307">
        <v>1</v>
      </c>
      <c r="L272" s="308"/>
    </row>
    <row r="273" spans="1:12" x14ac:dyDescent="0.2">
      <c r="A273" s="199" t="s">
        <v>1056</v>
      </c>
      <c r="B273" s="171" t="s">
        <v>1111</v>
      </c>
      <c r="C273" s="213" t="s">
        <v>1115</v>
      </c>
      <c r="D273" s="227" t="s">
        <v>1116</v>
      </c>
      <c r="E273" s="157" t="s">
        <v>1117</v>
      </c>
      <c r="F273" s="171" t="s">
        <v>37</v>
      </c>
      <c r="G273" s="241">
        <f>IF(H273="","",ROUND(H273/$C$3,2))</f>
        <v>18.41</v>
      </c>
      <c r="H273" s="255">
        <v>388</v>
      </c>
      <c r="I273" s="269"/>
      <c r="J273" s="282">
        <f>IF(H273="","",ROUND(H273*(1+IF(I273="",0,I273)),2))</f>
        <v>388</v>
      </c>
      <c r="K273" s="185">
        <v>1</v>
      </c>
      <c r="L273" s="285"/>
    </row>
    <row r="274" spans="1:12" x14ac:dyDescent="0.2">
      <c r="A274" s="298" t="s">
        <v>1056</v>
      </c>
      <c r="B274" s="299" t="s">
        <v>1111</v>
      </c>
      <c r="C274" s="300" t="s">
        <v>1118</v>
      </c>
      <c r="D274" s="301" t="s">
        <v>1119</v>
      </c>
      <c r="E274" s="302" t="s">
        <v>1120</v>
      </c>
      <c r="F274" s="299" t="s">
        <v>37</v>
      </c>
      <c r="G274" s="303">
        <f>IF(H274="","",ROUND(H274/$C$3,2))</f>
        <v>18.41</v>
      </c>
      <c r="H274" s="304">
        <v>388</v>
      </c>
      <c r="I274" s="305"/>
      <c r="J274" s="306">
        <f>IF(H274="","",ROUND(H274*(1+IF(I274="",0,I274)),2))</f>
        <v>388</v>
      </c>
      <c r="K274" s="307">
        <v>1</v>
      </c>
      <c r="L274" s="308"/>
    </row>
    <row r="275" spans="1:12" x14ac:dyDescent="0.2">
      <c r="A275" s="199" t="s">
        <v>1056</v>
      </c>
      <c r="B275" s="171" t="s">
        <v>1111</v>
      </c>
      <c r="C275" s="213" t="s">
        <v>1121</v>
      </c>
      <c r="D275" s="227" t="s">
        <v>1122</v>
      </c>
      <c r="E275" s="157" t="s">
        <v>1123</v>
      </c>
      <c r="F275" s="171" t="s">
        <v>37</v>
      </c>
      <c r="G275" s="241">
        <f>IF(H275="","",ROUND(H275/$C$3,2))</f>
        <v>18.41</v>
      </c>
      <c r="H275" s="255">
        <v>388</v>
      </c>
      <c r="I275" s="269"/>
      <c r="J275" s="282">
        <f>IF(H275="","",ROUND(H275*(1+IF(I275="",0,I275)),2))</f>
        <v>388</v>
      </c>
      <c r="K275" s="185">
        <v>1</v>
      </c>
      <c r="L275" s="285"/>
    </row>
    <row r="276" spans="1:12" x14ac:dyDescent="0.2">
      <c r="A276" s="298" t="s">
        <v>1056</v>
      </c>
      <c r="B276" s="299" t="s">
        <v>1111</v>
      </c>
      <c r="C276" s="300" t="s">
        <v>1124</v>
      </c>
      <c r="D276" s="301" t="s">
        <v>1125</v>
      </c>
      <c r="E276" s="302" t="s">
        <v>1126</v>
      </c>
      <c r="F276" s="299" t="s">
        <v>37</v>
      </c>
      <c r="G276" s="303">
        <f>IF(H276="","",ROUND(H276/$C$3,2))</f>
        <v>18.41</v>
      </c>
      <c r="H276" s="304">
        <v>388</v>
      </c>
      <c r="I276" s="305"/>
      <c r="J276" s="306">
        <f>IF(H276="","",ROUND(H276*(1+IF(I276="",0,I276)),2))</f>
        <v>388</v>
      </c>
      <c r="K276" s="307">
        <v>1</v>
      </c>
      <c r="L276" s="308"/>
    </row>
    <row r="277" spans="1:12" x14ac:dyDescent="0.2">
      <c r="A277" s="199" t="s">
        <v>1056</v>
      </c>
      <c r="B277" s="171" t="s">
        <v>1111</v>
      </c>
      <c r="C277" s="213" t="s">
        <v>1127</v>
      </c>
      <c r="D277" s="227" t="s">
        <v>1128</v>
      </c>
      <c r="E277" s="157" t="s">
        <v>1129</v>
      </c>
      <c r="F277" s="171" t="s">
        <v>37</v>
      </c>
      <c r="G277" s="241">
        <f>IF(H277="","",ROUND(H277/$C$3,2))</f>
        <v>18.41</v>
      </c>
      <c r="H277" s="255">
        <v>388</v>
      </c>
      <c r="I277" s="269"/>
      <c r="J277" s="282">
        <f>IF(H277="","",ROUND(H277*(1+IF(I277="",0,I277)),2))</f>
        <v>388</v>
      </c>
      <c r="K277" s="185">
        <v>1</v>
      </c>
      <c r="L277" s="285"/>
    </row>
    <row r="278" spans="1:12" x14ac:dyDescent="0.2">
      <c r="A278" s="298" t="s">
        <v>1056</v>
      </c>
      <c r="B278" s="299" t="s">
        <v>1111</v>
      </c>
      <c r="C278" s="300" t="s">
        <v>1130</v>
      </c>
      <c r="D278" s="301" t="s">
        <v>877</v>
      </c>
      <c r="E278" s="302" t="s">
        <v>1131</v>
      </c>
      <c r="F278" s="299" t="s">
        <v>37</v>
      </c>
      <c r="G278" s="303">
        <f>IF(H278="","",ROUND(H278/$C$3,2))</f>
        <v>66.41</v>
      </c>
      <c r="H278" s="304">
        <v>1400</v>
      </c>
      <c r="I278" s="305"/>
      <c r="J278" s="306">
        <f>IF(H278="","",ROUND(H278*(1+IF(I278="",0,I278)),2))</f>
        <v>1400</v>
      </c>
      <c r="K278" s="307">
        <v>1</v>
      </c>
      <c r="L278" s="308"/>
    </row>
    <row r="279" spans="1:12" x14ac:dyDescent="0.2">
      <c r="A279" s="199" t="s">
        <v>1056</v>
      </c>
      <c r="B279" s="171" t="s">
        <v>1111</v>
      </c>
      <c r="C279" s="213" t="s">
        <v>1132</v>
      </c>
      <c r="D279" s="227" t="s">
        <v>1133</v>
      </c>
      <c r="E279" s="157" t="s">
        <v>1134</v>
      </c>
      <c r="F279" s="171" t="s">
        <v>37</v>
      </c>
      <c r="G279" s="241">
        <f>IF(H279="","",ROUND(H279/$C$3,2))</f>
        <v>5.46</v>
      </c>
      <c r="H279" s="255">
        <v>115</v>
      </c>
      <c r="I279" s="269"/>
      <c r="J279" s="282">
        <f>IF(H279="","",ROUND(H279*(1+IF(I279="",0,I279)),2))</f>
        <v>115</v>
      </c>
      <c r="K279" s="185">
        <v>1</v>
      </c>
      <c r="L279" s="285"/>
    </row>
    <row r="280" spans="1:12" x14ac:dyDescent="0.2">
      <c r="A280" s="298" t="s">
        <v>1056</v>
      </c>
      <c r="B280" s="299" t="s">
        <v>1135</v>
      </c>
      <c r="C280" s="300" t="s">
        <v>1136</v>
      </c>
      <c r="D280" s="301" t="s">
        <v>1137</v>
      </c>
      <c r="E280" s="302" t="s">
        <v>1138</v>
      </c>
      <c r="F280" s="299" t="s">
        <v>37</v>
      </c>
      <c r="G280" s="303">
        <f>IF(H280="","",ROUND(H280/$C$3,2))</f>
        <v>170.78</v>
      </c>
      <c r="H280" s="304">
        <v>3600</v>
      </c>
      <c r="I280" s="305"/>
      <c r="J280" s="306">
        <f>IF(H280="","",ROUND(H280*(1+IF(I280="",0,I280)),2))</f>
        <v>3600</v>
      </c>
      <c r="K280" s="307">
        <v>2</v>
      </c>
      <c r="L280" s="308"/>
    </row>
    <row r="281" spans="1:12" x14ac:dyDescent="0.2">
      <c r="A281" s="199" t="s">
        <v>1056</v>
      </c>
      <c r="B281" s="171" t="s">
        <v>1135</v>
      </c>
      <c r="C281" s="213" t="s">
        <v>1139</v>
      </c>
      <c r="D281" s="227" t="s">
        <v>1140</v>
      </c>
      <c r="E281" s="157" t="s">
        <v>1141</v>
      </c>
      <c r="F281" s="171" t="s">
        <v>37</v>
      </c>
      <c r="G281" s="241">
        <f>IF(H281="","",ROUND(H281/$C$3,2))</f>
        <v>52.18</v>
      </c>
      <c r="H281" s="255">
        <v>1100</v>
      </c>
      <c r="I281" s="269"/>
      <c r="J281" s="282">
        <f>IF(H281="","",ROUND(H281*(1+IF(I281="",0,I281)),2))</f>
        <v>1100</v>
      </c>
      <c r="K281" s="185">
        <v>1</v>
      </c>
      <c r="L281" s="285"/>
    </row>
    <row r="282" spans="1:12" x14ac:dyDescent="0.2">
      <c r="A282" s="298" t="s">
        <v>1056</v>
      </c>
      <c r="B282" s="299" t="s">
        <v>1135</v>
      </c>
      <c r="C282" s="300" t="s">
        <v>1142</v>
      </c>
      <c r="D282" s="301" t="s">
        <v>1143</v>
      </c>
      <c r="E282" s="302" t="s">
        <v>1144</v>
      </c>
      <c r="F282" s="299" t="s">
        <v>37</v>
      </c>
      <c r="G282" s="303">
        <f>IF(H282="","",ROUND(H282/$C$3,2))</f>
        <v>42.69</v>
      </c>
      <c r="H282" s="304">
        <v>900</v>
      </c>
      <c r="I282" s="305"/>
      <c r="J282" s="306">
        <f>IF(H282="","",ROUND(H282*(1+IF(I282="",0,I282)),2))</f>
        <v>900</v>
      </c>
      <c r="K282" s="307">
        <v>1</v>
      </c>
      <c r="L282" s="308"/>
    </row>
    <row r="283" spans="1:12" x14ac:dyDescent="0.2">
      <c r="A283" s="199" t="s">
        <v>1056</v>
      </c>
      <c r="B283" s="171" t="s">
        <v>1135</v>
      </c>
      <c r="C283" s="213" t="s">
        <v>1145</v>
      </c>
      <c r="D283" s="227" t="s">
        <v>1146</v>
      </c>
      <c r="E283" s="157" t="s">
        <v>1147</v>
      </c>
      <c r="F283" s="171" t="s">
        <v>37</v>
      </c>
      <c r="G283" s="241">
        <f>IF(H283="","",ROUND(H283/$C$3,2))</f>
        <v>71.16</v>
      </c>
      <c r="H283" s="255">
        <v>1500</v>
      </c>
      <c r="I283" s="269"/>
      <c r="J283" s="282">
        <f>IF(H283="","",ROUND(H283*(1+IF(I283="",0,I283)),2))</f>
        <v>1500</v>
      </c>
      <c r="K283" s="185">
        <v>1</v>
      </c>
      <c r="L283" s="285"/>
    </row>
    <row r="284" spans="1:12" x14ac:dyDescent="0.2">
      <c r="A284" s="298" t="s">
        <v>1056</v>
      </c>
      <c r="B284" s="299" t="s">
        <v>1135</v>
      </c>
      <c r="C284" s="300" t="s">
        <v>1148</v>
      </c>
      <c r="D284" s="301" t="s">
        <v>1149</v>
      </c>
      <c r="E284" s="302" t="s">
        <v>1150</v>
      </c>
      <c r="F284" s="299" t="s">
        <v>37</v>
      </c>
      <c r="G284" s="303">
        <f>IF(H284="","",ROUND(H284/$C$3,2))</f>
        <v>26.09</v>
      </c>
      <c r="H284" s="304">
        <v>550</v>
      </c>
      <c r="I284" s="305"/>
      <c r="J284" s="306">
        <f>IF(H284="","",ROUND(H284*(1+IF(I284="",0,I284)),2))</f>
        <v>550</v>
      </c>
      <c r="K284" s="307">
        <v>1</v>
      </c>
      <c r="L284" s="308"/>
    </row>
    <row r="285" spans="1:12" x14ac:dyDescent="0.2">
      <c r="A285" s="199" t="s">
        <v>1056</v>
      </c>
      <c r="B285" s="171" t="s">
        <v>1151</v>
      </c>
      <c r="C285" s="213" t="s">
        <v>1152</v>
      </c>
      <c r="D285" s="227" t="s">
        <v>1153</v>
      </c>
      <c r="E285" s="157" t="s">
        <v>1154</v>
      </c>
      <c r="F285" s="171" t="s">
        <v>149</v>
      </c>
      <c r="G285" s="241">
        <f>IF(H285="","",ROUND(H285/$C$3,2))</f>
        <v>2.61</v>
      </c>
      <c r="H285" s="255">
        <v>55</v>
      </c>
      <c r="I285" s="269"/>
      <c r="J285" s="282">
        <f>IF(H285="","",ROUND(H285*(1+IF(I285="",0,I285)),2))</f>
        <v>55</v>
      </c>
      <c r="K285" s="185">
        <v>2</v>
      </c>
      <c r="L285" s="285"/>
    </row>
    <row r="286" spans="1:12" x14ac:dyDescent="0.2">
      <c r="A286" s="298" t="s">
        <v>1056</v>
      </c>
      <c r="B286" s="299" t="s">
        <v>1155</v>
      </c>
      <c r="C286" s="300" t="s">
        <v>1156</v>
      </c>
      <c r="D286" s="301" t="s">
        <v>1157</v>
      </c>
      <c r="E286" s="302" t="s">
        <v>1158</v>
      </c>
      <c r="F286" s="299" t="s">
        <v>149</v>
      </c>
      <c r="G286" s="303">
        <f>IF(H286="","",ROUND(H286/$C$3,2))</f>
        <v>1.76</v>
      </c>
      <c r="H286" s="304">
        <v>37</v>
      </c>
      <c r="I286" s="305"/>
      <c r="J286" s="306">
        <f>IF(H286="","",ROUND(H286*(1+IF(I286="",0,I286)),2))</f>
        <v>37</v>
      </c>
      <c r="K286" s="307">
        <v>2</v>
      </c>
      <c r="L286" s="308"/>
    </row>
    <row r="287" spans="1:12" x14ac:dyDescent="0.2">
      <c r="A287" s="199" t="s">
        <v>1056</v>
      </c>
      <c r="B287" s="171" t="s">
        <v>1159</v>
      </c>
      <c r="C287" s="213" t="s">
        <v>1160</v>
      </c>
      <c r="D287" s="227" t="s">
        <v>1161</v>
      </c>
      <c r="E287" s="157" t="s">
        <v>1162</v>
      </c>
      <c r="F287" s="171" t="s">
        <v>37</v>
      </c>
      <c r="G287" s="241">
        <f>IF(H287="","",ROUND(H287/$C$3,2))</f>
        <v>40.18</v>
      </c>
      <c r="H287" s="255">
        <v>847</v>
      </c>
      <c r="I287" s="269"/>
      <c r="J287" s="282">
        <f>IF(H287="","",ROUND(H287*(1+IF(I287="",0,I287)),2))</f>
        <v>847</v>
      </c>
      <c r="K287" s="185">
        <v>1</v>
      </c>
      <c r="L287" s="285"/>
    </row>
    <row r="288" spans="1:12" x14ac:dyDescent="0.2">
      <c r="A288" s="298" t="s">
        <v>1056</v>
      </c>
      <c r="B288" s="299" t="s">
        <v>851</v>
      </c>
      <c r="C288" s="300" t="s">
        <v>1163</v>
      </c>
      <c r="D288" s="301" t="s">
        <v>1164</v>
      </c>
      <c r="E288" s="302" t="s">
        <v>1165</v>
      </c>
      <c r="F288" s="299" t="s">
        <v>661</v>
      </c>
      <c r="G288" s="303">
        <f>IF(H288="","",ROUND(H288/$C$3,2))</f>
        <v>1.9</v>
      </c>
      <c r="H288" s="304">
        <v>40</v>
      </c>
      <c r="I288" s="305"/>
      <c r="J288" s="306">
        <f>IF(H288="","",ROUND(H288*(1+IF(I288="",0,I288)),2))</f>
        <v>40</v>
      </c>
      <c r="K288" s="307">
        <v>2</v>
      </c>
      <c r="L288" s="308"/>
    </row>
    <row r="289" spans="1:12" x14ac:dyDescent="0.2">
      <c r="A289" s="199" t="s">
        <v>1056</v>
      </c>
      <c r="B289" s="171" t="s">
        <v>1166</v>
      </c>
      <c r="C289" s="213" t="s">
        <v>1167</v>
      </c>
      <c r="D289" s="227" t="s">
        <v>1168</v>
      </c>
      <c r="E289" s="157" t="s">
        <v>1169</v>
      </c>
      <c r="F289" s="171" t="s">
        <v>37</v>
      </c>
      <c r="G289" s="241">
        <f>IF(H289="","",ROUND(H289/$C$3,2))</f>
        <v>142.31</v>
      </c>
      <c r="H289" s="255">
        <v>3000</v>
      </c>
      <c r="I289" s="269"/>
      <c r="J289" s="282">
        <f>IF(H289="","",ROUND(H289*(1+IF(I289="",0,I289)),2))</f>
        <v>3000</v>
      </c>
      <c r="K289" s="185">
        <v>2</v>
      </c>
      <c r="L289" s="285"/>
    </row>
    <row r="290" spans="1:12" x14ac:dyDescent="0.2">
      <c r="A290" s="298" t="s">
        <v>1056</v>
      </c>
      <c r="B290" s="299" t="s">
        <v>1170</v>
      </c>
      <c r="C290" s="300" t="s">
        <v>1171</v>
      </c>
      <c r="D290" s="301" t="s">
        <v>1172</v>
      </c>
      <c r="E290" s="302" t="s">
        <v>1173</v>
      </c>
      <c r="F290" s="299" t="s">
        <v>149</v>
      </c>
      <c r="G290" s="303">
        <f>IF(H290="","",ROUND(H290/$C$3,2))</f>
        <v>7.12</v>
      </c>
      <c r="H290" s="304">
        <v>150</v>
      </c>
      <c r="I290" s="305"/>
      <c r="J290" s="306">
        <f>IF(H290="","",ROUND(H290*(1+IF(I290="",0,I290)),2))</f>
        <v>150</v>
      </c>
      <c r="K290" s="307">
        <v>1</v>
      </c>
      <c r="L290" s="308"/>
    </row>
    <row r="291" spans="1:12" x14ac:dyDescent="0.2">
      <c r="A291" s="199" t="s">
        <v>1056</v>
      </c>
      <c r="B291" s="171" t="s">
        <v>1174</v>
      </c>
      <c r="C291" s="213" t="s">
        <v>1175</v>
      </c>
      <c r="D291" s="227" t="s">
        <v>1176</v>
      </c>
      <c r="E291" s="157" t="s">
        <v>1177</v>
      </c>
      <c r="F291" s="171" t="s">
        <v>37</v>
      </c>
      <c r="G291" s="241">
        <f>IF(H291="","",ROUND(H291/$C$3,2))</f>
        <v>8.5399999999999991</v>
      </c>
      <c r="H291" s="255">
        <v>180</v>
      </c>
      <c r="I291" s="269"/>
      <c r="J291" s="282">
        <f>IF(H291="","",ROUND(H291*(1+IF(I291="",0,I291)),2))</f>
        <v>180</v>
      </c>
      <c r="K291" s="185">
        <v>2</v>
      </c>
      <c r="L291" s="285"/>
    </row>
    <row r="292" spans="1:12" x14ac:dyDescent="0.2">
      <c r="A292" s="298" t="s">
        <v>1056</v>
      </c>
      <c r="B292" s="299" t="s">
        <v>1174</v>
      </c>
      <c r="C292" s="300" t="s">
        <v>1178</v>
      </c>
      <c r="D292" s="301" t="s">
        <v>1179</v>
      </c>
      <c r="E292" s="302" t="s">
        <v>1180</v>
      </c>
      <c r="F292" s="299" t="s">
        <v>37</v>
      </c>
      <c r="G292" s="303">
        <f>IF(H292="","",ROUND(H292/$C$3,2))</f>
        <v>8.5399999999999991</v>
      </c>
      <c r="H292" s="304">
        <v>180</v>
      </c>
      <c r="I292" s="305"/>
      <c r="J292" s="306">
        <f>IF(H292="","",ROUND(H292*(1+IF(I292="",0,I292)),2))</f>
        <v>180</v>
      </c>
      <c r="K292" s="307">
        <v>2</v>
      </c>
      <c r="L292" s="308"/>
    </row>
    <row r="293" spans="1:12" x14ac:dyDescent="0.2">
      <c r="A293" s="199" t="s">
        <v>1056</v>
      </c>
      <c r="B293" s="171" t="s">
        <v>1174</v>
      </c>
      <c r="C293" s="213" t="s">
        <v>1181</v>
      </c>
      <c r="D293" s="227" t="s">
        <v>1182</v>
      </c>
      <c r="E293" s="157" t="s">
        <v>1183</v>
      </c>
      <c r="F293" s="171" t="s">
        <v>37</v>
      </c>
      <c r="G293" s="241">
        <f>IF(H293="","",ROUND(H293/$C$3,2))</f>
        <v>8.5399999999999991</v>
      </c>
      <c r="H293" s="255">
        <v>180</v>
      </c>
      <c r="I293" s="269"/>
      <c r="J293" s="282">
        <f>IF(H293="","",ROUND(H293*(1+IF(I293="",0,I293)),2))</f>
        <v>180</v>
      </c>
      <c r="K293" s="185">
        <v>2</v>
      </c>
      <c r="L293" s="285"/>
    </row>
    <row r="294" spans="1:12" x14ac:dyDescent="0.2">
      <c r="A294" s="298" t="s">
        <v>1056</v>
      </c>
      <c r="B294" s="299" t="s">
        <v>1174</v>
      </c>
      <c r="C294" s="300" t="s">
        <v>1184</v>
      </c>
      <c r="D294" s="301" t="s">
        <v>1185</v>
      </c>
      <c r="E294" s="302" t="s">
        <v>1186</v>
      </c>
      <c r="F294" s="299" t="s">
        <v>37</v>
      </c>
      <c r="G294" s="303">
        <f>IF(H294="","",ROUND(H294/$C$3,2))</f>
        <v>8.5399999999999991</v>
      </c>
      <c r="H294" s="304">
        <v>180</v>
      </c>
      <c r="I294" s="305"/>
      <c r="J294" s="306">
        <f>IF(H294="","",ROUND(H294*(1+IF(I294="",0,I294)),2))</f>
        <v>180</v>
      </c>
      <c r="K294" s="307">
        <v>2</v>
      </c>
      <c r="L294" s="308"/>
    </row>
    <row r="295" spans="1:12" x14ac:dyDescent="0.2">
      <c r="A295" s="199" t="s">
        <v>1056</v>
      </c>
      <c r="B295" s="171" t="s">
        <v>1174</v>
      </c>
      <c r="C295" s="213" t="s">
        <v>1187</v>
      </c>
      <c r="D295" s="227" t="s">
        <v>1188</v>
      </c>
      <c r="E295" s="157" t="s">
        <v>1189</v>
      </c>
      <c r="F295" s="171" t="s">
        <v>37</v>
      </c>
      <c r="G295" s="241">
        <f>IF(H295="","",ROUND(H295/$C$3,2))</f>
        <v>8.5399999999999991</v>
      </c>
      <c r="H295" s="255">
        <v>180</v>
      </c>
      <c r="I295" s="269"/>
      <c r="J295" s="282">
        <f>IF(H295="","",ROUND(H295*(1+IF(I295="",0,I295)),2))</f>
        <v>180</v>
      </c>
      <c r="K295" s="185">
        <v>2</v>
      </c>
      <c r="L295" s="285"/>
    </row>
    <row r="296" spans="1:12" x14ac:dyDescent="0.2">
      <c r="A296" s="298" t="s">
        <v>1056</v>
      </c>
      <c r="B296" s="299" t="s">
        <v>1174</v>
      </c>
      <c r="C296" s="300" t="s">
        <v>1190</v>
      </c>
      <c r="D296" s="301" t="s">
        <v>1191</v>
      </c>
      <c r="E296" s="302" t="s">
        <v>1192</v>
      </c>
      <c r="F296" s="299" t="s">
        <v>37</v>
      </c>
      <c r="G296" s="303">
        <f>IF(H296="","",ROUND(H296/$C$3,2))</f>
        <v>8.5399999999999991</v>
      </c>
      <c r="H296" s="304">
        <v>180</v>
      </c>
      <c r="I296" s="305"/>
      <c r="J296" s="306">
        <f>IF(H296="","",ROUND(H296*(1+IF(I296="",0,I296)),2))</f>
        <v>180</v>
      </c>
      <c r="K296" s="307">
        <v>2</v>
      </c>
      <c r="L296" s="308"/>
    </row>
    <row r="297" spans="1:12" x14ac:dyDescent="0.2">
      <c r="A297" s="199" t="s">
        <v>1056</v>
      </c>
      <c r="B297" s="171" t="s">
        <v>1174</v>
      </c>
      <c r="C297" s="213" t="s">
        <v>1193</v>
      </c>
      <c r="D297" s="227" t="s">
        <v>1194</v>
      </c>
      <c r="E297" s="157" t="s">
        <v>1195</v>
      </c>
      <c r="F297" s="171" t="s">
        <v>37</v>
      </c>
      <c r="G297" s="241">
        <f>IF(H297="","",ROUND(H297/$C$3,2))</f>
        <v>8.5399999999999991</v>
      </c>
      <c r="H297" s="255">
        <v>180</v>
      </c>
      <c r="I297" s="269"/>
      <c r="J297" s="282">
        <f>IF(H297="","",ROUND(H297*(1+IF(I297="",0,I297)),2))</f>
        <v>180</v>
      </c>
      <c r="K297" s="185">
        <v>2</v>
      </c>
      <c r="L297" s="285"/>
    </row>
    <row r="298" spans="1:12" x14ac:dyDescent="0.2">
      <c r="A298" s="298" t="s">
        <v>1056</v>
      </c>
      <c r="B298" s="299" t="s">
        <v>1174</v>
      </c>
      <c r="C298" s="300" t="s">
        <v>1196</v>
      </c>
      <c r="D298" s="301" t="s">
        <v>1197</v>
      </c>
      <c r="E298" s="302" t="s">
        <v>1198</v>
      </c>
      <c r="F298" s="299" t="s">
        <v>37</v>
      </c>
      <c r="G298" s="303">
        <f>IF(H298="","",ROUND(H298/$C$3,2))</f>
        <v>13.28</v>
      </c>
      <c r="H298" s="304">
        <v>280</v>
      </c>
      <c r="I298" s="305"/>
      <c r="J298" s="306">
        <f>IF(H298="","",ROUND(H298*(1+IF(I298="",0,I298)),2))</f>
        <v>280</v>
      </c>
      <c r="K298" s="307">
        <v>2</v>
      </c>
      <c r="L298" s="308"/>
    </row>
    <row r="299" spans="1:12" x14ac:dyDescent="0.2">
      <c r="A299" s="199" t="s">
        <v>1056</v>
      </c>
      <c r="B299" s="171" t="s">
        <v>1199</v>
      </c>
      <c r="C299" s="213" t="s">
        <v>1200</v>
      </c>
      <c r="D299" s="227" t="s">
        <v>1201</v>
      </c>
      <c r="E299" s="157" t="s">
        <v>1202</v>
      </c>
      <c r="F299" s="171" t="s">
        <v>37</v>
      </c>
      <c r="G299" s="241">
        <f>IF(H299="","",ROUND(H299/$C$3,2))</f>
        <v>2.85</v>
      </c>
      <c r="H299" s="255">
        <v>60</v>
      </c>
      <c r="I299" s="269"/>
      <c r="J299" s="282">
        <f>IF(H299="","",ROUND(H299*(1+IF(I299="",0,I299)),2))</f>
        <v>60</v>
      </c>
      <c r="K299" s="185">
        <v>2</v>
      </c>
      <c r="L299" s="285"/>
    </row>
    <row r="300" spans="1:12" x14ac:dyDescent="0.2">
      <c r="A300" s="298" t="s">
        <v>1056</v>
      </c>
      <c r="B300" s="299" t="s">
        <v>148</v>
      </c>
      <c r="C300" s="300" t="s">
        <v>1203</v>
      </c>
      <c r="D300" s="301" t="s">
        <v>1204</v>
      </c>
      <c r="E300" s="302" t="s">
        <v>1205</v>
      </c>
      <c r="F300" s="299" t="s">
        <v>149</v>
      </c>
      <c r="G300" s="303">
        <f>IF(H300="","",ROUND(H300/$C$3,2))</f>
        <v>7.12</v>
      </c>
      <c r="H300" s="304">
        <v>150</v>
      </c>
      <c r="I300" s="305"/>
      <c r="J300" s="306">
        <f>IF(H300="","",ROUND(H300*(1+IF(I300="",0,I300)),2))</f>
        <v>150</v>
      </c>
      <c r="K300" s="307">
        <v>1</v>
      </c>
      <c r="L300" s="308"/>
    </row>
    <row r="301" spans="1:12" x14ac:dyDescent="0.2">
      <c r="A301" s="199" t="s">
        <v>1056</v>
      </c>
      <c r="B301" s="171" t="s">
        <v>1206</v>
      </c>
      <c r="C301" s="213" t="s">
        <v>1207</v>
      </c>
      <c r="D301" s="227" t="s">
        <v>1208</v>
      </c>
      <c r="E301" s="157" t="s">
        <v>1209</v>
      </c>
      <c r="F301" s="171" t="s">
        <v>149</v>
      </c>
      <c r="G301" s="241">
        <f>IF(H301="","",ROUND(H301/$C$3,2))</f>
        <v>8.5399999999999991</v>
      </c>
      <c r="H301" s="255">
        <v>180</v>
      </c>
      <c r="I301" s="269"/>
      <c r="J301" s="282">
        <f>IF(H301="","",ROUND(H301*(1+IF(I301="",0,I301)),2))</f>
        <v>180</v>
      </c>
      <c r="K301" s="185">
        <v>1</v>
      </c>
      <c r="L301" s="285"/>
    </row>
    <row r="302" spans="1:12" x14ac:dyDescent="0.2">
      <c r="A302" s="298" t="s">
        <v>1056</v>
      </c>
      <c r="B302" s="299" t="s">
        <v>1206</v>
      </c>
      <c r="C302" s="300" t="s">
        <v>1210</v>
      </c>
      <c r="D302" s="301" t="s">
        <v>1211</v>
      </c>
      <c r="E302" s="302" t="s">
        <v>1212</v>
      </c>
      <c r="F302" s="299" t="s">
        <v>149</v>
      </c>
      <c r="G302" s="303">
        <f>IF(H302="","",ROUND(H302/$C$3,2))</f>
        <v>9.9600000000000009</v>
      </c>
      <c r="H302" s="304">
        <v>210</v>
      </c>
      <c r="I302" s="305"/>
      <c r="J302" s="306">
        <f>IF(H302="","",ROUND(H302*(1+IF(I302="",0,I302)),2))</f>
        <v>210</v>
      </c>
      <c r="K302" s="307">
        <v>2</v>
      </c>
      <c r="L302" s="308"/>
    </row>
    <row r="303" spans="1:12" x14ac:dyDescent="0.2">
      <c r="A303" s="199" t="s">
        <v>1056</v>
      </c>
      <c r="B303" s="171" t="s">
        <v>1206</v>
      </c>
      <c r="C303" s="213" t="s">
        <v>1213</v>
      </c>
      <c r="D303" s="227" t="s">
        <v>1214</v>
      </c>
      <c r="E303" s="157" t="s">
        <v>1215</v>
      </c>
      <c r="F303" s="171" t="s">
        <v>149</v>
      </c>
      <c r="G303" s="241">
        <f>IF(H303="","",ROUND(H303/$C$3,2))</f>
        <v>8.3000000000000007</v>
      </c>
      <c r="H303" s="255">
        <v>175</v>
      </c>
      <c r="I303" s="269"/>
      <c r="J303" s="282">
        <f>IF(H303="","",ROUND(H303*(1+IF(I303="",0,I303)),2))</f>
        <v>175</v>
      </c>
      <c r="K303" s="185">
        <v>1</v>
      </c>
      <c r="L303" s="285"/>
    </row>
    <row r="304" spans="1:12" x14ac:dyDescent="0.2">
      <c r="A304" s="298" t="s">
        <v>1056</v>
      </c>
      <c r="B304" s="299" t="s">
        <v>1206</v>
      </c>
      <c r="C304" s="300" t="s">
        <v>1216</v>
      </c>
      <c r="D304" s="301" t="s">
        <v>1217</v>
      </c>
      <c r="E304" s="302" t="s">
        <v>1218</v>
      </c>
      <c r="F304" s="299" t="s">
        <v>149</v>
      </c>
      <c r="G304" s="303">
        <f>IF(H304="","",ROUND(H304/$C$3,2))</f>
        <v>6.17</v>
      </c>
      <c r="H304" s="304">
        <v>130</v>
      </c>
      <c r="I304" s="305"/>
      <c r="J304" s="306">
        <f>IF(H304="","",ROUND(H304*(1+IF(I304="",0,I304)),2))</f>
        <v>130</v>
      </c>
      <c r="K304" s="307">
        <v>1</v>
      </c>
      <c r="L304" s="308"/>
    </row>
    <row r="305" spans="1:12" x14ac:dyDescent="0.2">
      <c r="A305" s="199" t="s">
        <v>1056</v>
      </c>
      <c r="B305" s="171" t="s">
        <v>1206</v>
      </c>
      <c r="C305" s="213" t="s">
        <v>1219</v>
      </c>
      <c r="D305" s="227" t="s">
        <v>1220</v>
      </c>
      <c r="E305" s="157" t="s">
        <v>1221</v>
      </c>
      <c r="F305" s="171" t="s">
        <v>149</v>
      </c>
      <c r="G305" s="241">
        <f>IF(H305="","",ROUND(H305/$C$3,2))</f>
        <v>9.7200000000000006</v>
      </c>
      <c r="H305" s="255">
        <v>205</v>
      </c>
      <c r="I305" s="269"/>
      <c r="J305" s="282">
        <f>IF(H305="","",ROUND(H305*(1+IF(I305="",0,I305)),2))</f>
        <v>205</v>
      </c>
      <c r="K305" s="185">
        <v>1</v>
      </c>
      <c r="L305" s="285"/>
    </row>
    <row r="306" spans="1:12" x14ac:dyDescent="0.2">
      <c r="A306" s="298" t="s">
        <v>1056</v>
      </c>
      <c r="B306" s="299" t="s">
        <v>1206</v>
      </c>
      <c r="C306" s="300" t="s">
        <v>1222</v>
      </c>
      <c r="D306" s="301" t="s">
        <v>1223</v>
      </c>
      <c r="E306" s="302" t="s">
        <v>1224</v>
      </c>
      <c r="F306" s="299" t="s">
        <v>149</v>
      </c>
      <c r="G306" s="303">
        <f>IF(H306="","",ROUND(H306/$C$3,2))</f>
        <v>7.12</v>
      </c>
      <c r="H306" s="304">
        <v>150</v>
      </c>
      <c r="I306" s="305"/>
      <c r="J306" s="306">
        <f>IF(H306="","",ROUND(H306*(1+IF(I306="",0,I306)),2))</f>
        <v>150</v>
      </c>
      <c r="K306" s="307">
        <v>2</v>
      </c>
      <c r="L306" s="308"/>
    </row>
    <row r="307" spans="1:12" x14ac:dyDescent="0.2">
      <c r="A307" s="199" t="s">
        <v>1056</v>
      </c>
      <c r="B307" s="171" t="s">
        <v>1206</v>
      </c>
      <c r="C307" s="213" t="s">
        <v>1225</v>
      </c>
      <c r="D307" s="227" t="s">
        <v>1226</v>
      </c>
      <c r="E307" s="157" t="s">
        <v>1227</v>
      </c>
      <c r="F307" s="171" t="s">
        <v>149</v>
      </c>
      <c r="G307" s="241">
        <f>IF(H307="","",ROUND(H307/$C$3,2))</f>
        <v>6.88</v>
      </c>
      <c r="H307" s="255">
        <v>145</v>
      </c>
      <c r="I307" s="269"/>
      <c r="J307" s="282">
        <f>IF(H307="","",ROUND(H307*(1+IF(I307="",0,I307)),2))</f>
        <v>145</v>
      </c>
      <c r="K307" s="185">
        <v>1</v>
      </c>
      <c r="L307" s="285"/>
    </row>
    <row r="308" spans="1:12" x14ac:dyDescent="0.2">
      <c r="A308" s="298" t="s">
        <v>1056</v>
      </c>
      <c r="B308" s="299" t="s">
        <v>1206</v>
      </c>
      <c r="C308" s="300" t="s">
        <v>1228</v>
      </c>
      <c r="D308" s="301" t="s">
        <v>1229</v>
      </c>
      <c r="E308" s="302" t="s">
        <v>1230</v>
      </c>
      <c r="F308" s="299" t="s">
        <v>149</v>
      </c>
      <c r="G308" s="303">
        <f>IF(H308="","",ROUND(H308/$C$3,2))</f>
        <v>14.23</v>
      </c>
      <c r="H308" s="304">
        <v>300</v>
      </c>
      <c r="I308" s="305"/>
      <c r="J308" s="306">
        <f>IF(H308="","",ROUND(H308*(1+IF(I308="",0,I308)),2))</f>
        <v>300</v>
      </c>
      <c r="K308" s="307">
        <v>2</v>
      </c>
      <c r="L308" s="308"/>
    </row>
    <row r="309" spans="1:12" x14ac:dyDescent="0.2">
      <c r="A309" s="199" t="s">
        <v>1056</v>
      </c>
      <c r="B309" s="171" t="s">
        <v>1231</v>
      </c>
      <c r="C309" s="213" t="s">
        <v>1232</v>
      </c>
      <c r="D309" s="227" t="s">
        <v>1233</v>
      </c>
      <c r="E309" s="157" t="s">
        <v>1234</v>
      </c>
      <c r="F309" s="171" t="s">
        <v>137</v>
      </c>
      <c r="G309" s="241">
        <f>IF(H309="","",ROUND(H309/$C$3,2))</f>
        <v>145</v>
      </c>
      <c r="H309" s="255">
        <v>3056.6</v>
      </c>
      <c r="I309" s="269"/>
      <c r="J309" s="282">
        <f>IF(H309="","",ROUND(H309*(1+IF(I309="",0,I309)),2))</f>
        <v>3056.6</v>
      </c>
      <c r="K309" s="185"/>
      <c r="L309" s="285"/>
    </row>
    <row r="310" spans="1:12" x14ac:dyDescent="0.2">
      <c r="A310" s="298" t="s">
        <v>1056</v>
      </c>
      <c r="B310" s="299" t="s">
        <v>1231</v>
      </c>
      <c r="C310" s="300" t="s">
        <v>1235</v>
      </c>
      <c r="D310" s="301" t="s">
        <v>1236</v>
      </c>
      <c r="E310" s="302" t="s">
        <v>1237</v>
      </c>
      <c r="F310" s="299" t="s">
        <v>137</v>
      </c>
      <c r="G310" s="303">
        <f>IF(H310="","",ROUND(H310/$C$3,2))</f>
        <v>144</v>
      </c>
      <c r="H310" s="304">
        <v>3035.52</v>
      </c>
      <c r="I310" s="305"/>
      <c r="J310" s="306">
        <f>IF(H310="","",ROUND(H310*(1+IF(I310="",0,I310)),2))</f>
        <v>3035.52</v>
      </c>
      <c r="K310" s="307"/>
      <c r="L310" s="308"/>
    </row>
    <row r="311" spans="1:12" x14ac:dyDescent="0.2">
      <c r="A311" s="199" t="s">
        <v>1056</v>
      </c>
      <c r="B311" s="171" t="s">
        <v>1231</v>
      </c>
      <c r="C311" s="213" t="s">
        <v>1238</v>
      </c>
      <c r="D311" s="227" t="s">
        <v>1239</v>
      </c>
      <c r="E311" s="157" t="s">
        <v>1240</v>
      </c>
      <c r="F311" s="171" t="s">
        <v>137</v>
      </c>
      <c r="G311" s="241">
        <f>IF(H311="","",ROUND(H311/$C$3,2))</f>
        <v>150</v>
      </c>
      <c r="H311" s="255">
        <v>3162</v>
      </c>
      <c r="I311" s="269"/>
      <c r="J311" s="282">
        <f>IF(H311="","",ROUND(H311*(1+IF(I311="",0,I311)),2))</f>
        <v>3162</v>
      </c>
      <c r="K311" s="185"/>
      <c r="L311" s="285"/>
    </row>
    <row r="312" spans="1:12" x14ac:dyDescent="0.2">
      <c r="A312" s="298" t="s">
        <v>1056</v>
      </c>
      <c r="B312" s="299" t="s">
        <v>1231</v>
      </c>
      <c r="C312" s="300" t="s">
        <v>1241</v>
      </c>
      <c r="D312" s="301" t="s">
        <v>1242</v>
      </c>
      <c r="E312" s="302" t="s">
        <v>1243</v>
      </c>
      <c r="F312" s="299" t="s">
        <v>137</v>
      </c>
      <c r="G312" s="303">
        <f>IF(H312="","",ROUND(H312/$C$3,2))</f>
        <v>74</v>
      </c>
      <c r="H312" s="304">
        <v>1559.92</v>
      </c>
      <c r="I312" s="305"/>
      <c r="J312" s="306">
        <f>IF(H312="","",ROUND(H312*(1+IF(I312="",0,I312)),2))</f>
        <v>1559.92</v>
      </c>
      <c r="K312" s="307"/>
      <c r="L312" s="308"/>
    </row>
    <row r="313" spans="1:12" x14ac:dyDescent="0.2">
      <c r="A313" s="199" t="s">
        <v>1056</v>
      </c>
      <c r="B313" s="171" t="s">
        <v>1231</v>
      </c>
      <c r="C313" s="213" t="s">
        <v>1244</v>
      </c>
      <c r="D313" s="227" t="s">
        <v>1245</v>
      </c>
      <c r="E313" s="157" t="s">
        <v>1246</v>
      </c>
      <c r="F313" s="171" t="s">
        <v>137</v>
      </c>
      <c r="G313" s="241">
        <f>IF(H313="","",ROUND(H313/$C$3,2))</f>
        <v>450</v>
      </c>
      <c r="H313" s="255">
        <v>9486</v>
      </c>
      <c r="I313" s="269"/>
      <c r="J313" s="282">
        <f>IF(H313="","",ROUND(H313*(1+IF(I313="",0,I313)),2))</f>
        <v>9486</v>
      </c>
      <c r="K313" s="185"/>
      <c r="L313" s="285"/>
    </row>
    <row r="314" spans="1:12" x14ac:dyDescent="0.2">
      <c r="A314" s="298" t="s">
        <v>1056</v>
      </c>
      <c r="B314" s="299" t="s">
        <v>1231</v>
      </c>
      <c r="C314" s="300" t="s">
        <v>1247</v>
      </c>
      <c r="D314" s="301" t="s">
        <v>1248</v>
      </c>
      <c r="E314" s="302" t="s">
        <v>1249</v>
      </c>
      <c r="F314" s="299" t="s">
        <v>137</v>
      </c>
      <c r="G314" s="303">
        <f>IF(H314="","",ROUND(H314/$C$3,2))</f>
        <v>72</v>
      </c>
      <c r="H314" s="304">
        <v>1517.76</v>
      </c>
      <c r="I314" s="305"/>
      <c r="J314" s="306">
        <f>IF(H314="","",ROUND(H314*(1+IF(I314="",0,I314)),2))</f>
        <v>1517.76</v>
      </c>
      <c r="K314" s="307"/>
      <c r="L314" s="308"/>
    </row>
    <row r="315" spans="1:12" x14ac:dyDescent="0.2">
      <c r="A315" s="199" t="s">
        <v>1056</v>
      </c>
      <c r="B315" s="171" t="s">
        <v>1231</v>
      </c>
      <c r="C315" s="213" t="s">
        <v>1250</v>
      </c>
      <c r="D315" s="227" t="s">
        <v>1251</v>
      </c>
      <c r="E315" s="157" t="s">
        <v>1252</v>
      </c>
      <c r="F315" s="171" t="s">
        <v>137</v>
      </c>
      <c r="G315" s="241">
        <f>IF(H315="","",ROUND(H315/$C$3,2))</f>
        <v>85</v>
      </c>
      <c r="H315" s="255">
        <v>1791.8</v>
      </c>
      <c r="I315" s="269"/>
      <c r="J315" s="282">
        <f>IF(H315="","",ROUND(H315*(1+IF(I315="",0,I315)),2))</f>
        <v>1791.8</v>
      </c>
      <c r="K315" s="185">
        <v>1</v>
      </c>
      <c r="L315" s="285"/>
    </row>
    <row r="316" spans="1:12" x14ac:dyDescent="0.2">
      <c r="A316" s="298" t="s">
        <v>1056</v>
      </c>
      <c r="B316" s="299" t="s">
        <v>1231</v>
      </c>
      <c r="C316" s="300" t="s">
        <v>1253</v>
      </c>
      <c r="D316" s="301" t="s">
        <v>1254</v>
      </c>
      <c r="E316" s="302" t="s">
        <v>1255</v>
      </c>
      <c r="F316" s="299" t="s">
        <v>137</v>
      </c>
      <c r="G316" s="303">
        <f>IF(H316="","",ROUND(H316/$C$3,2))</f>
        <v>74</v>
      </c>
      <c r="H316" s="304">
        <v>1559.92</v>
      </c>
      <c r="I316" s="305"/>
      <c r="J316" s="306">
        <f>IF(H316="","",ROUND(H316*(1+IF(I316="",0,I316)),2))</f>
        <v>1559.92</v>
      </c>
      <c r="K316" s="307"/>
      <c r="L316" s="308"/>
    </row>
    <row r="317" spans="1:12" x14ac:dyDescent="0.2">
      <c r="A317" s="199" t="s">
        <v>1056</v>
      </c>
      <c r="B317" s="171" t="s">
        <v>1231</v>
      </c>
      <c r="C317" s="213" t="s">
        <v>1256</v>
      </c>
      <c r="D317" s="227" t="s">
        <v>1257</v>
      </c>
      <c r="E317" s="157" t="s">
        <v>1258</v>
      </c>
      <c r="F317" s="171" t="s">
        <v>137</v>
      </c>
      <c r="G317" s="241">
        <f>IF(H317="","",ROUND(H317/$C$3,2))</f>
        <v>115</v>
      </c>
      <c r="H317" s="255">
        <v>2424.1999999999998</v>
      </c>
      <c r="I317" s="269"/>
      <c r="J317" s="282">
        <f>IF(H317="","",ROUND(H317*(1+IF(I317="",0,I317)),2))</f>
        <v>2424.1999999999998</v>
      </c>
      <c r="K317" s="185">
        <v>2</v>
      </c>
      <c r="L317" s="285"/>
    </row>
    <row r="318" spans="1:12" x14ac:dyDescent="0.2">
      <c r="A318" s="298" t="s">
        <v>1056</v>
      </c>
      <c r="B318" s="299" t="s">
        <v>1231</v>
      </c>
      <c r="C318" s="300" t="s">
        <v>1259</v>
      </c>
      <c r="D318" s="301" t="s">
        <v>1260</v>
      </c>
      <c r="E318" s="302" t="s">
        <v>1261</v>
      </c>
      <c r="F318" s="299" t="s">
        <v>137</v>
      </c>
      <c r="G318" s="303">
        <f>IF(H318="","",ROUND(H318/$C$3,2))</f>
        <v>105</v>
      </c>
      <c r="H318" s="304">
        <v>2213.4</v>
      </c>
      <c r="I318" s="305"/>
      <c r="J318" s="306">
        <f>IF(H318="","",ROUND(H318*(1+IF(I318="",0,I318)),2))</f>
        <v>2213.4</v>
      </c>
      <c r="K318" s="307">
        <v>2</v>
      </c>
      <c r="L318" s="308"/>
    </row>
    <row r="319" spans="1:12" x14ac:dyDescent="0.2">
      <c r="A319" s="199" t="s">
        <v>1056</v>
      </c>
      <c r="B319" s="171" t="s">
        <v>1231</v>
      </c>
      <c r="C319" s="213" t="s">
        <v>1262</v>
      </c>
      <c r="D319" s="227" t="s">
        <v>1263</v>
      </c>
      <c r="E319" s="157" t="s">
        <v>1264</v>
      </c>
      <c r="F319" s="171" t="s">
        <v>137</v>
      </c>
      <c r="G319" s="241">
        <f>IF(H319="","",ROUND(H319/$C$3,2))</f>
        <v>79</v>
      </c>
      <c r="H319" s="255">
        <v>1665.32</v>
      </c>
      <c r="I319" s="269"/>
      <c r="J319" s="282">
        <f>IF(H319="","",ROUND(H319*(1+IF(I319="",0,I319)),2))</f>
        <v>1665.32</v>
      </c>
      <c r="K319" s="185">
        <v>1</v>
      </c>
      <c r="L319" s="285"/>
    </row>
    <row r="320" spans="1:12" x14ac:dyDescent="0.2">
      <c r="A320" s="298" t="s">
        <v>1056</v>
      </c>
      <c r="B320" s="299" t="s">
        <v>1231</v>
      </c>
      <c r="C320" s="300" t="s">
        <v>1265</v>
      </c>
      <c r="D320" s="301" t="s">
        <v>1266</v>
      </c>
      <c r="E320" s="302" t="s">
        <v>1267</v>
      </c>
      <c r="F320" s="299" t="s">
        <v>137</v>
      </c>
      <c r="G320" s="303">
        <f>IF(H320="","",ROUND(H320/$C$3,2))</f>
        <v>80</v>
      </c>
      <c r="H320" s="304">
        <v>1686.4</v>
      </c>
      <c r="I320" s="305"/>
      <c r="J320" s="306">
        <f>IF(H320="","",ROUND(H320*(1+IF(I320="",0,I320)),2))</f>
        <v>1686.4</v>
      </c>
      <c r="K320" s="307">
        <v>1</v>
      </c>
      <c r="L320" s="308"/>
    </row>
    <row r="321" spans="1:12" x14ac:dyDescent="0.2">
      <c r="A321" s="199" t="s">
        <v>1056</v>
      </c>
      <c r="B321" s="171" t="s">
        <v>1231</v>
      </c>
      <c r="C321" s="213" t="s">
        <v>1268</v>
      </c>
      <c r="D321" s="227" t="s">
        <v>1269</v>
      </c>
      <c r="E321" s="157" t="s">
        <v>1270</v>
      </c>
      <c r="F321" s="171" t="s">
        <v>137</v>
      </c>
      <c r="G321" s="241">
        <f>IF(H321="","",ROUND(H321/$C$3,2))</f>
        <v>167</v>
      </c>
      <c r="H321" s="255">
        <v>3520.36</v>
      </c>
      <c r="I321" s="269"/>
      <c r="J321" s="282">
        <f>IF(H321="","",ROUND(H321*(1+IF(I321="",0,I321)),2))</f>
        <v>3520.36</v>
      </c>
      <c r="K321" s="185"/>
      <c r="L321" s="285"/>
    </row>
    <row r="322" spans="1:12" x14ac:dyDescent="0.2">
      <c r="A322" s="298" t="s">
        <v>1056</v>
      </c>
      <c r="B322" s="299" t="s">
        <v>1231</v>
      </c>
      <c r="C322" s="300" t="s">
        <v>1271</v>
      </c>
      <c r="D322" s="301" t="s">
        <v>1272</v>
      </c>
      <c r="E322" s="302" t="s">
        <v>1273</v>
      </c>
      <c r="F322" s="299" t="s">
        <v>137</v>
      </c>
      <c r="G322" s="303">
        <f>IF(H322="","",ROUND(H322/$C$3,2))</f>
        <v>105</v>
      </c>
      <c r="H322" s="304">
        <v>2213.4</v>
      </c>
      <c r="I322" s="305"/>
      <c r="J322" s="306">
        <f>IF(H322="","",ROUND(H322*(1+IF(I322="",0,I322)),2))</f>
        <v>2213.4</v>
      </c>
      <c r="K322" s="307">
        <v>1</v>
      </c>
      <c r="L322" s="308"/>
    </row>
    <row r="323" spans="1:12" x14ac:dyDescent="0.2">
      <c r="A323" s="199" t="s">
        <v>1056</v>
      </c>
      <c r="B323" s="171" t="s">
        <v>1231</v>
      </c>
      <c r="C323" s="213" t="s">
        <v>1274</v>
      </c>
      <c r="D323" s="227" t="s">
        <v>1275</v>
      </c>
      <c r="E323" s="157" t="s">
        <v>1276</v>
      </c>
      <c r="F323" s="171" t="s">
        <v>137</v>
      </c>
      <c r="G323" s="241">
        <f>IF(H323="","",ROUND(H323/$C$3,2))</f>
        <v>58</v>
      </c>
      <c r="H323" s="255">
        <v>1222.6400000000001</v>
      </c>
      <c r="I323" s="269"/>
      <c r="J323" s="282">
        <f>IF(H323="","",ROUND(H323*(1+IF(I323="",0,I323)),2))</f>
        <v>1222.6400000000001</v>
      </c>
      <c r="K323" s="185">
        <v>1</v>
      </c>
      <c r="L323" s="285"/>
    </row>
    <row r="324" spans="1:12" x14ac:dyDescent="0.2">
      <c r="A324" s="298" t="s">
        <v>1056</v>
      </c>
      <c r="B324" s="299" t="s">
        <v>1231</v>
      </c>
      <c r="C324" s="300" t="s">
        <v>1277</v>
      </c>
      <c r="D324" s="301" t="s">
        <v>1278</v>
      </c>
      <c r="E324" s="302" t="s">
        <v>1279</v>
      </c>
      <c r="F324" s="299" t="s">
        <v>137</v>
      </c>
      <c r="G324" s="303">
        <f>IF(H324="","",ROUND(H324/$C$3,2))</f>
        <v>81</v>
      </c>
      <c r="H324" s="304">
        <v>1707.48</v>
      </c>
      <c r="I324" s="305"/>
      <c r="J324" s="306">
        <f>IF(H324="","",ROUND(H324*(1+IF(I324="",0,I324)),2))</f>
        <v>1707.48</v>
      </c>
      <c r="K324" s="307"/>
      <c r="L324" s="308"/>
    </row>
    <row r="325" spans="1:12" x14ac:dyDescent="0.2">
      <c r="A325" s="199" t="s">
        <v>1056</v>
      </c>
      <c r="B325" s="171" t="s">
        <v>1231</v>
      </c>
      <c r="C325" s="213" t="s">
        <v>1280</v>
      </c>
      <c r="D325" s="227" t="s">
        <v>1281</v>
      </c>
      <c r="E325" s="157" t="s">
        <v>1282</v>
      </c>
      <c r="F325" s="171" t="s">
        <v>137</v>
      </c>
      <c r="G325" s="241">
        <f>IF(H325="","",ROUND(H325/$C$3,2))</f>
        <v>106</v>
      </c>
      <c r="H325" s="255">
        <v>2234.48</v>
      </c>
      <c r="I325" s="269"/>
      <c r="J325" s="282">
        <f>IF(H325="","",ROUND(H325*(1+IF(I325="",0,I325)),2))</f>
        <v>2234.48</v>
      </c>
      <c r="K325" s="185"/>
      <c r="L325" s="285"/>
    </row>
    <row r="326" spans="1:12" x14ac:dyDescent="0.2">
      <c r="A326" s="298" t="s">
        <v>1056</v>
      </c>
      <c r="B326" s="299" t="s">
        <v>1231</v>
      </c>
      <c r="C326" s="300" t="s">
        <v>1283</v>
      </c>
      <c r="D326" s="301" t="s">
        <v>1284</v>
      </c>
      <c r="E326" s="302" t="s">
        <v>1285</v>
      </c>
      <c r="F326" s="299" t="s">
        <v>137</v>
      </c>
      <c r="G326" s="303">
        <f>IF(H326="","",ROUND(H326/$C$3,2))</f>
        <v>60</v>
      </c>
      <c r="H326" s="304">
        <v>1264.8</v>
      </c>
      <c r="I326" s="305"/>
      <c r="J326" s="306">
        <f>IF(H326="","",ROUND(H326*(1+IF(I326="",0,I326)),2))</f>
        <v>1264.8</v>
      </c>
      <c r="K326" s="307">
        <v>2</v>
      </c>
      <c r="L326" s="308"/>
    </row>
    <row r="327" spans="1:12" x14ac:dyDescent="0.2">
      <c r="A327" s="199" t="s">
        <v>1056</v>
      </c>
      <c r="B327" s="171" t="s">
        <v>1231</v>
      </c>
      <c r="C327" s="213" t="s">
        <v>1286</v>
      </c>
      <c r="D327" s="227" t="s">
        <v>1287</v>
      </c>
      <c r="E327" s="157" t="s">
        <v>1288</v>
      </c>
      <c r="F327" s="171" t="s">
        <v>137</v>
      </c>
      <c r="G327" s="241">
        <f>IF(H327="","",ROUND(H327/$C$3,2))</f>
        <v>26.09</v>
      </c>
      <c r="H327" s="255">
        <v>550</v>
      </c>
      <c r="I327" s="269"/>
      <c r="J327" s="282">
        <f>IF(H327="","",ROUND(H327*(1+IF(I327="",0,I327)),2))</f>
        <v>550</v>
      </c>
      <c r="K327" s="185">
        <v>2</v>
      </c>
      <c r="L327" s="285"/>
    </row>
    <row r="328" spans="1:12" x14ac:dyDescent="0.2">
      <c r="A328" s="298" t="s">
        <v>1056</v>
      </c>
      <c r="B328" s="299" t="s">
        <v>1231</v>
      </c>
      <c r="C328" s="300" t="s">
        <v>1289</v>
      </c>
      <c r="D328" s="301" t="s">
        <v>1290</v>
      </c>
      <c r="E328" s="302" t="s">
        <v>1291</v>
      </c>
      <c r="F328" s="299" t="s">
        <v>137</v>
      </c>
      <c r="G328" s="303">
        <f>IF(H328="","",ROUND(H328/$C$3,2))</f>
        <v>90</v>
      </c>
      <c r="H328" s="304">
        <v>1897.2</v>
      </c>
      <c r="I328" s="305"/>
      <c r="J328" s="306">
        <f>IF(H328="","",ROUND(H328*(1+IF(I328="",0,I328)),2))</f>
        <v>1897.2</v>
      </c>
      <c r="K328" s="307"/>
      <c r="L328" s="308"/>
    </row>
    <row r="329" spans="1:12" x14ac:dyDescent="0.2">
      <c r="A329" s="199" t="s">
        <v>1056</v>
      </c>
      <c r="B329" s="171" t="s">
        <v>1231</v>
      </c>
      <c r="C329" s="213" t="s">
        <v>1292</v>
      </c>
      <c r="D329" s="227" t="s">
        <v>1293</v>
      </c>
      <c r="E329" s="157" t="s">
        <v>1294</v>
      </c>
      <c r="F329" s="171" t="s">
        <v>137</v>
      </c>
      <c r="G329" s="241">
        <f>IF(H329="","",ROUND(H329/$C$3,2))</f>
        <v>140</v>
      </c>
      <c r="H329" s="255">
        <v>2951.2</v>
      </c>
      <c r="I329" s="269"/>
      <c r="J329" s="282">
        <f>IF(H329="","",ROUND(H329*(1+IF(I329="",0,I329)),2))</f>
        <v>2951.2</v>
      </c>
      <c r="K329" s="185"/>
      <c r="L329" s="285"/>
    </row>
    <row r="330" spans="1:12" x14ac:dyDescent="0.2">
      <c r="A330" s="298" t="s">
        <v>1056</v>
      </c>
      <c r="B330" s="299" t="s">
        <v>1231</v>
      </c>
      <c r="C330" s="300" t="s">
        <v>1295</v>
      </c>
      <c r="D330" s="301" t="s">
        <v>1296</v>
      </c>
      <c r="E330" s="302" t="s">
        <v>1297</v>
      </c>
      <c r="F330" s="299" t="s">
        <v>137</v>
      </c>
      <c r="G330" s="303">
        <f>IF(H330="","",ROUND(H330/$C$3,2))</f>
        <v>190</v>
      </c>
      <c r="H330" s="304">
        <v>4005.2</v>
      </c>
      <c r="I330" s="305"/>
      <c r="J330" s="306">
        <f>IF(H330="","",ROUND(H330*(1+IF(I330="",0,I330)),2))</f>
        <v>4005.2</v>
      </c>
      <c r="K330" s="307"/>
      <c r="L330" s="308"/>
    </row>
    <row r="331" spans="1:12" x14ac:dyDescent="0.2">
      <c r="A331" s="199" t="s">
        <v>1056</v>
      </c>
      <c r="B331" s="171" t="s">
        <v>1231</v>
      </c>
      <c r="C331" s="213" t="s">
        <v>1298</v>
      </c>
      <c r="D331" s="227" t="s">
        <v>1299</v>
      </c>
      <c r="E331" s="157" t="s">
        <v>1300</v>
      </c>
      <c r="F331" s="171" t="s">
        <v>137</v>
      </c>
      <c r="G331" s="241">
        <f>IF(H331="","",ROUND(H331/$C$3,2))</f>
        <v>125</v>
      </c>
      <c r="H331" s="255">
        <v>2635</v>
      </c>
      <c r="I331" s="269"/>
      <c r="J331" s="282">
        <f>IF(H331="","",ROUND(H331*(1+IF(I331="",0,I331)),2))</f>
        <v>2635</v>
      </c>
      <c r="K331" s="185">
        <v>2</v>
      </c>
      <c r="L331" s="285"/>
    </row>
    <row r="332" spans="1:12" x14ac:dyDescent="0.2">
      <c r="A332" s="298" t="s">
        <v>1056</v>
      </c>
      <c r="B332" s="299" t="s">
        <v>1231</v>
      </c>
      <c r="C332" s="300" t="s">
        <v>1301</v>
      </c>
      <c r="D332" s="301" t="s">
        <v>1302</v>
      </c>
      <c r="E332" s="302" t="s">
        <v>1303</v>
      </c>
      <c r="F332" s="299" t="s">
        <v>137</v>
      </c>
      <c r="G332" s="303">
        <f>IF(H332="","",ROUND(H332/$C$3,2))</f>
        <v>79</v>
      </c>
      <c r="H332" s="304">
        <v>1665.32</v>
      </c>
      <c r="I332" s="305"/>
      <c r="J332" s="306">
        <f>IF(H332="","",ROUND(H332*(1+IF(I332="",0,I332)),2))</f>
        <v>1665.32</v>
      </c>
      <c r="K332" s="307">
        <v>1</v>
      </c>
      <c r="L332" s="308"/>
    </row>
    <row r="333" spans="1:12" x14ac:dyDescent="0.2">
      <c r="A333" s="199" t="s">
        <v>1056</v>
      </c>
      <c r="B333" s="171" t="s">
        <v>1231</v>
      </c>
      <c r="C333" s="213" t="s">
        <v>1304</v>
      </c>
      <c r="D333" s="227" t="s">
        <v>1305</v>
      </c>
      <c r="E333" s="157" t="s">
        <v>1306</v>
      </c>
      <c r="F333" s="171" t="s">
        <v>137</v>
      </c>
      <c r="G333" s="241">
        <f>IF(H333="","",ROUND(H333/$C$3,2))</f>
        <v>145</v>
      </c>
      <c r="H333" s="255">
        <v>3056.6</v>
      </c>
      <c r="I333" s="269"/>
      <c r="J333" s="282">
        <f>IF(H333="","",ROUND(H333*(1+IF(I333="",0,I333)),2))</f>
        <v>3056.6</v>
      </c>
      <c r="K333" s="185"/>
      <c r="L333" s="285"/>
    </row>
    <row r="334" spans="1:12" x14ac:dyDescent="0.2">
      <c r="A334" s="298" t="s">
        <v>1056</v>
      </c>
      <c r="B334" s="299" t="s">
        <v>1231</v>
      </c>
      <c r="C334" s="300" t="s">
        <v>1307</v>
      </c>
      <c r="D334" s="301" t="s">
        <v>1308</v>
      </c>
      <c r="E334" s="302" t="s">
        <v>1309</v>
      </c>
      <c r="F334" s="299" t="s">
        <v>137</v>
      </c>
      <c r="G334" s="303">
        <f>IF(H334="","",ROUND(H334/$C$3,2))</f>
        <v>71</v>
      </c>
      <c r="H334" s="304">
        <v>1496.68</v>
      </c>
      <c r="I334" s="305"/>
      <c r="J334" s="306">
        <f>IF(H334="","",ROUND(H334*(1+IF(I334="",0,I334)),2))</f>
        <v>1496.68</v>
      </c>
      <c r="K334" s="307"/>
      <c r="L334" s="308"/>
    </row>
    <row r="335" spans="1:12" x14ac:dyDescent="0.2">
      <c r="A335" s="199" t="s">
        <v>1056</v>
      </c>
      <c r="B335" s="171" t="s">
        <v>1231</v>
      </c>
      <c r="C335" s="213" t="s">
        <v>1310</v>
      </c>
      <c r="D335" s="227" t="s">
        <v>1311</v>
      </c>
      <c r="E335" s="157" t="s">
        <v>1312</v>
      </c>
      <c r="F335" s="171" t="s">
        <v>137</v>
      </c>
      <c r="G335" s="241">
        <f>IF(H335="","",ROUND(H335/$C$3,2))</f>
        <v>115</v>
      </c>
      <c r="H335" s="255">
        <v>2424.1999999999998</v>
      </c>
      <c r="I335" s="269"/>
      <c r="J335" s="282">
        <f>IF(H335="","",ROUND(H335*(1+IF(I335="",0,I335)),2))</f>
        <v>2424.1999999999998</v>
      </c>
      <c r="K335" s="185"/>
      <c r="L335" s="285"/>
    </row>
    <row r="336" spans="1:12" x14ac:dyDescent="0.2">
      <c r="A336" s="298" t="s">
        <v>1056</v>
      </c>
      <c r="B336" s="299" t="s">
        <v>1231</v>
      </c>
      <c r="C336" s="300" t="s">
        <v>1313</v>
      </c>
      <c r="D336" s="301" t="s">
        <v>1314</v>
      </c>
      <c r="E336" s="302" t="s">
        <v>1315</v>
      </c>
      <c r="F336" s="299" t="s">
        <v>137</v>
      </c>
      <c r="G336" s="303">
        <f>IF(H336="","",ROUND(H336/$C$3,2))</f>
        <v>84</v>
      </c>
      <c r="H336" s="304">
        <v>1770.72</v>
      </c>
      <c r="I336" s="305"/>
      <c r="J336" s="306">
        <f>IF(H336="","",ROUND(H336*(1+IF(I336="",0,I336)),2))</f>
        <v>1770.72</v>
      </c>
      <c r="K336" s="307"/>
      <c r="L336" s="308"/>
    </row>
    <row r="337" spans="1:12" x14ac:dyDescent="0.2">
      <c r="A337" s="199" t="s">
        <v>1056</v>
      </c>
      <c r="B337" s="171" t="s">
        <v>1231</v>
      </c>
      <c r="C337" s="213" t="s">
        <v>1316</v>
      </c>
      <c r="D337" s="227" t="s">
        <v>1317</v>
      </c>
      <c r="E337" s="157" t="s">
        <v>1318</v>
      </c>
      <c r="F337" s="171" t="s">
        <v>137</v>
      </c>
      <c r="G337" s="241">
        <f>IF(H337="","",ROUND(H337/$C$3,2))</f>
        <v>69</v>
      </c>
      <c r="H337" s="255">
        <v>1454.52</v>
      </c>
      <c r="I337" s="269"/>
      <c r="J337" s="282">
        <f>IF(H337="","",ROUND(H337*(1+IF(I337="",0,I337)),2))</f>
        <v>1454.52</v>
      </c>
      <c r="K337" s="185"/>
      <c r="L337" s="285"/>
    </row>
    <row r="338" spans="1:12" x14ac:dyDescent="0.2">
      <c r="A338" s="298" t="s">
        <v>1056</v>
      </c>
      <c r="B338" s="299" t="s">
        <v>1231</v>
      </c>
      <c r="C338" s="300" t="s">
        <v>1319</v>
      </c>
      <c r="D338" s="301" t="s">
        <v>1320</v>
      </c>
      <c r="E338" s="302" t="s">
        <v>1321</v>
      </c>
      <c r="F338" s="299" t="s">
        <v>137</v>
      </c>
      <c r="G338" s="303">
        <f>IF(H338="","",ROUND(H338/$C$3,2))</f>
        <v>95</v>
      </c>
      <c r="H338" s="304">
        <v>2002.6</v>
      </c>
      <c r="I338" s="305"/>
      <c r="J338" s="306">
        <f>IF(H338="","",ROUND(H338*(1+IF(I338="",0,I338)),2))</f>
        <v>2002.6</v>
      </c>
      <c r="K338" s="307"/>
      <c r="L338" s="308"/>
    </row>
    <row r="339" spans="1:12" x14ac:dyDescent="0.2">
      <c r="A339" s="199" t="s">
        <v>1056</v>
      </c>
      <c r="B339" s="171" t="s">
        <v>1231</v>
      </c>
      <c r="C339" s="213" t="s">
        <v>1322</v>
      </c>
      <c r="D339" s="227" t="s">
        <v>1323</v>
      </c>
      <c r="E339" s="157" t="s">
        <v>1324</v>
      </c>
      <c r="F339" s="171" t="s">
        <v>137</v>
      </c>
      <c r="G339" s="241">
        <f>IF(H339="","",ROUND(H339/$C$3,2))</f>
        <v>100</v>
      </c>
      <c r="H339" s="255">
        <v>2108</v>
      </c>
      <c r="I339" s="269"/>
      <c r="J339" s="282">
        <f>IF(H339="","",ROUND(H339*(1+IF(I339="",0,I339)),2))</f>
        <v>2108</v>
      </c>
      <c r="K339" s="185"/>
      <c r="L339" s="285"/>
    </row>
    <row r="340" spans="1:12" x14ac:dyDescent="0.2">
      <c r="A340" s="298" t="s">
        <v>1056</v>
      </c>
      <c r="B340" s="299" t="s">
        <v>1231</v>
      </c>
      <c r="C340" s="300" t="s">
        <v>1325</v>
      </c>
      <c r="D340" s="301" t="s">
        <v>1326</v>
      </c>
      <c r="E340" s="302" t="s">
        <v>1327</v>
      </c>
      <c r="F340" s="299" t="s">
        <v>137</v>
      </c>
      <c r="G340" s="303">
        <f>IF(H340="","",ROUND(H340/$C$3,2))</f>
        <v>66</v>
      </c>
      <c r="H340" s="304">
        <v>1391.28</v>
      </c>
      <c r="I340" s="305"/>
      <c r="J340" s="306">
        <f>IF(H340="","",ROUND(H340*(1+IF(I340="",0,I340)),2))</f>
        <v>1391.28</v>
      </c>
      <c r="K340" s="307"/>
      <c r="L340" s="308"/>
    </row>
    <row r="341" spans="1:12" x14ac:dyDescent="0.2">
      <c r="A341" s="199" t="s">
        <v>1056</v>
      </c>
      <c r="B341" s="171" t="s">
        <v>1328</v>
      </c>
      <c r="C341" s="213" t="s">
        <v>1329</v>
      </c>
      <c r="D341" s="227" t="s">
        <v>1330</v>
      </c>
      <c r="E341" s="157" t="s">
        <v>1331</v>
      </c>
      <c r="F341" s="171" t="s">
        <v>544</v>
      </c>
      <c r="G341" s="241">
        <f>IF(H341="","",ROUND(H341/$C$3,2))</f>
        <v>4.2699999999999996</v>
      </c>
      <c r="H341" s="255">
        <v>90</v>
      </c>
      <c r="I341" s="269"/>
      <c r="J341" s="282">
        <f>IF(H341="","",ROUND(H341*(1+IF(I341="",0,I341)),2))</f>
        <v>90</v>
      </c>
      <c r="K341" s="185">
        <v>1</v>
      </c>
      <c r="L341" s="285"/>
    </row>
    <row r="342" spans="1:12" x14ac:dyDescent="0.2">
      <c r="A342" s="298" t="s">
        <v>1056</v>
      </c>
      <c r="B342" s="299" t="s">
        <v>1332</v>
      </c>
      <c r="C342" s="300" t="s">
        <v>1333</v>
      </c>
      <c r="D342" s="301" t="s">
        <v>1334</v>
      </c>
      <c r="E342" s="302" t="s">
        <v>1335</v>
      </c>
      <c r="F342" s="299" t="s">
        <v>1336</v>
      </c>
      <c r="G342" s="303">
        <f>IF(H342="","",ROUND(H342/$C$3,2))</f>
        <v>10.44</v>
      </c>
      <c r="H342" s="304">
        <v>220</v>
      </c>
      <c r="I342" s="305"/>
      <c r="J342" s="306">
        <f>IF(H342="","",ROUND(H342*(1+IF(I342="",0,I342)),2))</f>
        <v>220</v>
      </c>
      <c r="K342" s="307">
        <v>1</v>
      </c>
      <c r="L342" s="308"/>
    </row>
    <row r="343" spans="1:12" x14ac:dyDescent="0.2">
      <c r="A343" s="199" t="s">
        <v>1056</v>
      </c>
      <c r="B343" s="171" t="s">
        <v>1332</v>
      </c>
      <c r="C343" s="213" t="s">
        <v>1337</v>
      </c>
      <c r="D343" s="227" t="s">
        <v>1338</v>
      </c>
      <c r="E343" s="157" t="s">
        <v>1339</v>
      </c>
      <c r="F343" s="171" t="s">
        <v>1336</v>
      </c>
      <c r="G343" s="241">
        <f>IF(H343="","",ROUND(H343/$C$3,2))</f>
        <v>16.600000000000001</v>
      </c>
      <c r="H343" s="255">
        <v>350</v>
      </c>
      <c r="I343" s="269"/>
      <c r="J343" s="282">
        <f>IF(H343="","",ROUND(H343*(1+IF(I343="",0,I343)),2))</f>
        <v>350</v>
      </c>
      <c r="K343" s="185">
        <v>1</v>
      </c>
      <c r="L343" s="285"/>
    </row>
    <row r="344" spans="1:12" x14ac:dyDescent="0.2">
      <c r="A344" s="298" t="s">
        <v>1056</v>
      </c>
      <c r="B344" s="299" t="s">
        <v>1340</v>
      </c>
      <c r="C344" s="300" t="s">
        <v>1341</v>
      </c>
      <c r="D344" s="301" t="s">
        <v>1342</v>
      </c>
      <c r="E344" s="302" t="s">
        <v>1343</v>
      </c>
      <c r="F344" s="299" t="s">
        <v>149</v>
      </c>
      <c r="G344" s="303">
        <f>IF(H344="","",ROUND(H344/$C$3,2))</f>
        <v>3.56</v>
      </c>
      <c r="H344" s="304">
        <v>75</v>
      </c>
      <c r="I344" s="305"/>
      <c r="J344" s="306">
        <f>IF(H344="","",ROUND(H344*(1+IF(I344="",0,I344)),2))</f>
        <v>75</v>
      </c>
      <c r="K344" s="307">
        <v>1</v>
      </c>
      <c r="L344" s="308"/>
    </row>
    <row r="345" spans="1:12" x14ac:dyDescent="0.2">
      <c r="A345" s="199" t="s">
        <v>1056</v>
      </c>
      <c r="B345" s="171" t="s">
        <v>1344</v>
      </c>
      <c r="C345" s="213" t="s">
        <v>1345</v>
      </c>
      <c r="D345" s="227" t="s">
        <v>1346</v>
      </c>
      <c r="E345" s="157" t="s">
        <v>1347</v>
      </c>
      <c r="F345" s="171" t="s">
        <v>37</v>
      </c>
      <c r="G345" s="241">
        <f>IF(H345="","",ROUND(H345/$C$3,2))</f>
        <v>3.12</v>
      </c>
      <c r="H345" s="255">
        <v>65.7</v>
      </c>
      <c r="I345" s="269"/>
      <c r="J345" s="282">
        <f>IF(H345="","",ROUND(H345*(1+IF(I345="",0,I345)),2))</f>
        <v>65.7</v>
      </c>
      <c r="K345" s="185">
        <v>1</v>
      </c>
      <c r="L345" s="285"/>
    </row>
    <row r="346" spans="1:12" x14ac:dyDescent="0.2">
      <c r="A346" s="199"/>
      <c r="B346" s="171"/>
      <c r="C346" s="213"/>
      <c r="D346" s="227"/>
      <c r="E346" s="157"/>
      <c r="F346" s="171"/>
      <c r="G346" s="241"/>
      <c r="H346" s="255"/>
      <c r="I346" s="269"/>
      <c r="J346" s="282"/>
      <c r="K346" s="185"/>
      <c r="L346" s="285"/>
    </row>
    <row r="347" spans="1:12" ht="22" customHeight="1" x14ac:dyDescent="0.2">
      <c r="A347" s="208" t="s">
        <v>1348</v>
      </c>
      <c r="B347" s="180"/>
      <c r="C347" s="222"/>
      <c r="D347" s="236"/>
      <c r="E347" s="166"/>
      <c r="F347" s="180"/>
      <c r="G347" s="250"/>
      <c r="H347" s="264"/>
      <c r="I347" s="278"/>
      <c r="J347" s="250"/>
      <c r="K347" s="194"/>
      <c r="L347" s="294"/>
    </row>
    <row r="348" spans="1:12" x14ac:dyDescent="0.2">
      <c r="A348" s="298" t="s">
        <v>1349</v>
      </c>
      <c r="B348" s="299" t="s">
        <v>144</v>
      </c>
      <c r="C348" s="300" t="s">
        <v>1350</v>
      </c>
      <c r="D348" s="301" t="s">
        <v>1351</v>
      </c>
      <c r="E348" s="302" t="s">
        <v>1352</v>
      </c>
      <c r="F348" s="299" t="s">
        <v>37</v>
      </c>
      <c r="G348" s="303">
        <f>IF(H348="","",ROUND(H348/$C$3,2))</f>
        <v>0.16</v>
      </c>
      <c r="H348" s="304">
        <v>3.4</v>
      </c>
      <c r="I348" s="305"/>
      <c r="J348" s="306">
        <f>IF(H348="","",ROUND(H348*(1+IF(I348="",0,I348)),2))</f>
        <v>3.4</v>
      </c>
      <c r="K348" s="307">
        <v>1</v>
      </c>
      <c r="L348" s="308"/>
    </row>
    <row r="349" spans="1:12" x14ac:dyDescent="0.2">
      <c r="A349" s="199" t="s">
        <v>1349</v>
      </c>
      <c r="B349" s="171" t="s">
        <v>1353</v>
      </c>
      <c r="C349" s="213" t="s">
        <v>1354</v>
      </c>
      <c r="D349" s="227" t="s">
        <v>1355</v>
      </c>
      <c r="E349" s="157" t="s">
        <v>1356</v>
      </c>
      <c r="F349" s="171" t="s">
        <v>661</v>
      </c>
      <c r="G349" s="241">
        <f>IF(H349="","",ROUND(H349/$C$3,2))</f>
        <v>0.62</v>
      </c>
      <c r="H349" s="255">
        <v>13</v>
      </c>
      <c r="I349" s="269"/>
      <c r="J349" s="282">
        <f>IF(H349="","",ROUND(H349*(1+IF(I349="",0,I349)),2))</f>
        <v>13</v>
      </c>
      <c r="K349" s="185">
        <v>1</v>
      </c>
      <c r="L349" s="285"/>
    </row>
    <row r="350" spans="1:12" x14ac:dyDescent="0.2">
      <c r="A350" s="298" t="s">
        <v>1349</v>
      </c>
      <c r="B350" s="299" t="s">
        <v>1357</v>
      </c>
      <c r="C350" s="300" t="s">
        <v>1358</v>
      </c>
      <c r="D350" s="301" t="s">
        <v>1359</v>
      </c>
      <c r="E350" s="302" t="s">
        <v>1360</v>
      </c>
      <c r="F350" s="299" t="s">
        <v>37</v>
      </c>
      <c r="G350" s="303">
        <f>IF(H350="","",ROUND(H350/$C$3,2))</f>
        <v>0.56999999999999995</v>
      </c>
      <c r="H350" s="304">
        <v>12.1</v>
      </c>
      <c r="I350" s="305"/>
      <c r="J350" s="306">
        <f>IF(H350="","",ROUND(H350*(1+IF(I350="",0,I350)),2))</f>
        <v>12.1</v>
      </c>
      <c r="K350" s="307">
        <v>1</v>
      </c>
      <c r="L350" s="308"/>
    </row>
    <row r="351" spans="1:12" x14ac:dyDescent="0.2">
      <c r="A351" s="199" t="s">
        <v>1349</v>
      </c>
      <c r="B351" s="171" t="s">
        <v>1357</v>
      </c>
      <c r="C351" s="213" t="s">
        <v>1361</v>
      </c>
      <c r="D351" s="227" t="s">
        <v>1362</v>
      </c>
      <c r="E351" s="157" t="s">
        <v>1363</v>
      </c>
      <c r="F351" s="171" t="s">
        <v>661</v>
      </c>
      <c r="G351" s="241">
        <f>IF(H351="","",ROUND(H351/$C$3,2))</f>
        <v>0.31</v>
      </c>
      <c r="H351" s="255">
        <v>6.6</v>
      </c>
      <c r="I351" s="269"/>
      <c r="J351" s="282">
        <f>IF(H351="","",ROUND(H351*(1+IF(I351="",0,I351)),2))</f>
        <v>6.6</v>
      </c>
      <c r="K351" s="185">
        <v>1</v>
      </c>
      <c r="L351" s="285"/>
    </row>
    <row r="352" spans="1:12" x14ac:dyDescent="0.2">
      <c r="A352" s="298" t="s">
        <v>1349</v>
      </c>
      <c r="B352" s="299" t="s">
        <v>1364</v>
      </c>
      <c r="C352" s="300" t="s">
        <v>1365</v>
      </c>
      <c r="D352" s="301" t="s">
        <v>1366</v>
      </c>
      <c r="E352" s="302" t="s">
        <v>1367</v>
      </c>
      <c r="F352" s="299" t="s">
        <v>661</v>
      </c>
      <c r="G352" s="303">
        <f>IF(H352="","",ROUND(H352/$C$3,2))</f>
        <v>0.96</v>
      </c>
      <c r="H352" s="304">
        <v>20.14</v>
      </c>
      <c r="I352" s="305"/>
      <c r="J352" s="306">
        <f>IF(H352="","",ROUND(H352*(1+IF(I352="",0,I352)),2))</f>
        <v>20.14</v>
      </c>
      <c r="K352" s="307">
        <v>1</v>
      </c>
      <c r="L352" s="308"/>
    </row>
    <row r="353" spans="1:12" x14ac:dyDescent="0.2">
      <c r="A353" s="199" t="s">
        <v>1349</v>
      </c>
      <c r="B353" s="171" t="s">
        <v>1155</v>
      </c>
      <c r="C353" s="213" t="s">
        <v>1368</v>
      </c>
      <c r="D353" s="227" t="s">
        <v>1369</v>
      </c>
      <c r="E353" s="157" t="s">
        <v>1370</v>
      </c>
      <c r="F353" s="171" t="s">
        <v>149</v>
      </c>
      <c r="G353" s="241">
        <f>IF(H353="","",ROUND(H353/$C$3,2))</f>
        <v>1.8</v>
      </c>
      <c r="H353" s="255">
        <v>38</v>
      </c>
      <c r="I353" s="269"/>
      <c r="J353" s="282">
        <f>IF(H353="","",ROUND(H353*(1+IF(I353="",0,I353)),2))</f>
        <v>38</v>
      </c>
      <c r="K353" s="185">
        <v>1</v>
      </c>
      <c r="L353" s="285"/>
    </row>
    <row r="354" spans="1:12" x14ac:dyDescent="0.2">
      <c r="A354" s="298" t="s">
        <v>1349</v>
      </c>
      <c r="B354" s="299" t="s">
        <v>1155</v>
      </c>
      <c r="C354" s="300" t="s">
        <v>1371</v>
      </c>
      <c r="D354" s="301" t="s">
        <v>1372</v>
      </c>
      <c r="E354" s="302" t="s">
        <v>1373</v>
      </c>
      <c r="F354" s="299" t="s">
        <v>149</v>
      </c>
      <c r="G354" s="303">
        <f>IF(H354="","",ROUND(H354/$C$3,2))</f>
        <v>2.1800000000000002</v>
      </c>
      <c r="H354" s="304">
        <v>46</v>
      </c>
      <c r="I354" s="305"/>
      <c r="J354" s="306">
        <f>IF(H354="","",ROUND(H354*(1+IF(I354="",0,I354)),2))</f>
        <v>46</v>
      </c>
      <c r="K354" s="307">
        <v>1</v>
      </c>
      <c r="L354" s="308"/>
    </row>
    <row r="355" spans="1:12" x14ac:dyDescent="0.2">
      <c r="A355" s="199" t="s">
        <v>1349</v>
      </c>
      <c r="B355" s="171" t="s">
        <v>140</v>
      </c>
      <c r="C355" s="213" t="s">
        <v>1374</v>
      </c>
      <c r="D355" s="227" t="s">
        <v>1375</v>
      </c>
      <c r="E355" s="157" t="s">
        <v>1376</v>
      </c>
      <c r="F355" s="171" t="s">
        <v>37</v>
      </c>
      <c r="G355" s="241">
        <f>IF(H355="","",ROUND(H355/$C$3,2))</f>
        <v>73.290000000000006</v>
      </c>
      <c r="H355" s="255">
        <v>1545</v>
      </c>
      <c r="I355" s="269"/>
      <c r="J355" s="282">
        <f>IF(H355="","",ROUND(H355*(1+IF(I355="",0,I355)),2))</f>
        <v>1545</v>
      </c>
      <c r="K355" s="185">
        <v>2</v>
      </c>
      <c r="L355" s="285"/>
    </row>
    <row r="356" spans="1:12" x14ac:dyDescent="0.2">
      <c r="A356" s="298" t="s">
        <v>1349</v>
      </c>
      <c r="B356" s="299" t="s">
        <v>140</v>
      </c>
      <c r="C356" s="300" t="s">
        <v>1377</v>
      </c>
      <c r="D356" s="301" t="s">
        <v>1378</v>
      </c>
      <c r="E356" s="302" t="s">
        <v>1379</v>
      </c>
      <c r="F356" s="299" t="s">
        <v>37</v>
      </c>
      <c r="G356" s="303">
        <f>IF(H356="","",ROUND(H356/$C$3,2))</f>
        <v>104.6</v>
      </c>
      <c r="H356" s="304">
        <v>2205</v>
      </c>
      <c r="I356" s="305"/>
      <c r="J356" s="306">
        <f>IF(H356="","",ROUND(H356*(1+IF(I356="",0,I356)),2))</f>
        <v>2205</v>
      </c>
      <c r="K356" s="307"/>
      <c r="L356" s="308"/>
    </row>
    <row r="357" spans="1:12" x14ac:dyDescent="0.2">
      <c r="A357" s="199" t="s">
        <v>1349</v>
      </c>
      <c r="B357" s="171" t="s">
        <v>140</v>
      </c>
      <c r="C357" s="213" t="s">
        <v>1380</v>
      </c>
      <c r="D357" s="227" t="s">
        <v>1381</v>
      </c>
      <c r="E357" s="157" t="s">
        <v>1382</v>
      </c>
      <c r="F357" s="171" t="s">
        <v>37</v>
      </c>
      <c r="G357" s="241">
        <f>IF(H357="","",ROUND(H357/$C$3,2))</f>
        <v>137.22</v>
      </c>
      <c r="H357" s="255">
        <v>2892.5</v>
      </c>
      <c r="I357" s="269"/>
      <c r="J357" s="282">
        <f>IF(H357="","",ROUND(H357*(1+IF(I357="",0,I357)),2))</f>
        <v>2892.5</v>
      </c>
      <c r="K357" s="185">
        <v>2</v>
      </c>
      <c r="L357" s="285"/>
    </row>
    <row r="358" spans="1:12" x14ac:dyDescent="0.2">
      <c r="A358" s="298" t="s">
        <v>1349</v>
      </c>
      <c r="B358" s="299" t="s">
        <v>1383</v>
      </c>
      <c r="C358" s="300" t="s">
        <v>1384</v>
      </c>
      <c r="D358" s="301" t="s">
        <v>1385</v>
      </c>
      <c r="E358" s="302" t="s">
        <v>1386</v>
      </c>
      <c r="F358" s="299" t="s">
        <v>37</v>
      </c>
      <c r="G358" s="303">
        <f>IF(H358="","",ROUND(H358/$C$3,2))</f>
        <v>2.66</v>
      </c>
      <c r="H358" s="304">
        <v>56.03</v>
      </c>
      <c r="I358" s="305"/>
      <c r="J358" s="306">
        <f>IF(H358="","",ROUND(H358*(1+IF(I358="",0,I358)),2))</f>
        <v>56.03</v>
      </c>
      <c r="K358" s="307">
        <v>1</v>
      </c>
      <c r="L358" s="308"/>
    </row>
    <row r="359" spans="1:12" x14ac:dyDescent="0.2">
      <c r="A359" s="199" t="s">
        <v>1349</v>
      </c>
      <c r="B359" s="171" t="s">
        <v>1383</v>
      </c>
      <c r="C359" s="213" t="s">
        <v>1387</v>
      </c>
      <c r="D359" s="227" t="s">
        <v>1388</v>
      </c>
      <c r="E359" s="157" t="s">
        <v>1389</v>
      </c>
      <c r="F359" s="171" t="s">
        <v>37</v>
      </c>
      <c r="G359" s="241">
        <f>IF(H359="","",ROUND(H359/$C$3,2))</f>
        <v>3.56</v>
      </c>
      <c r="H359" s="255">
        <v>75</v>
      </c>
      <c r="I359" s="269"/>
      <c r="J359" s="282">
        <f>IF(H359="","",ROUND(H359*(1+IF(I359="",0,I359)),2))</f>
        <v>75</v>
      </c>
      <c r="K359" s="185">
        <v>1</v>
      </c>
      <c r="L359" s="285"/>
    </row>
    <row r="360" spans="1:12" x14ac:dyDescent="0.2">
      <c r="A360" s="298" t="s">
        <v>1349</v>
      </c>
      <c r="B360" s="299" t="s">
        <v>1383</v>
      </c>
      <c r="C360" s="300" t="s">
        <v>1390</v>
      </c>
      <c r="D360" s="301" t="s">
        <v>1391</v>
      </c>
      <c r="E360" s="302" t="s">
        <v>1392</v>
      </c>
      <c r="F360" s="299" t="s">
        <v>661</v>
      </c>
      <c r="G360" s="303">
        <f>IF(H360="","",ROUND(H360/$C$3,2))</f>
        <v>10.44</v>
      </c>
      <c r="H360" s="304">
        <v>220</v>
      </c>
      <c r="I360" s="305"/>
      <c r="J360" s="306">
        <f>IF(H360="","",ROUND(H360*(1+IF(I360="",0,I360)),2))</f>
        <v>220</v>
      </c>
      <c r="K360" s="307">
        <v>1</v>
      </c>
      <c r="L360" s="308"/>
    </row>
    <row r="361" spans="1:12" x14ac:dyDescent="0.2">
      <c r="A361" s="199" t="s">
        <v>1349</v>
      </c>
      <c r="B361" s="171" t="s">
        <v>1383</v>
      </c>
      <c r="C361" s="213" t="s">
        <v>1393</v>
      </c>
      <c r="D361" s="227" t="s">
        <v>1394</v>
      </c>
      <c r="E361" s="157" t="s">
        <v>1395</v>
      </c>
      <c r="F361" s="171" t="s">
        <v>37</v>
      </c>
      <c r="G361" s="241">
        <f>IF(H361="","",ROUND(H361/$C$3,2))</f>
        <v>17.55</v>
      </c>
      <c r="H361" s="255">
        <v>370</v>
      </c>
      <c r="I361" s="269"/>
      <c r="J361" s="282">
        <f>IF(H361="","",ROUND(H361*(1+IF(I361="",0,I361)),2))</f>
        <v>370</v>
      </c>
      <c r="K361" s="185">
        <v>2</v>
      </c>
      <c r="L361" s="285"/>
    </row>
    <row r="362" spans="1:12" x14ac:dyDescent="0.2">
      <c r="A362" s="298" t="s">
        <v>1349</v>
      </c>
      <c r="B362" s="299" t="s">
        <v>1383</v>
      </c>
      <c r="C362" s="300" t="s">
        <v>1396</v>
      </c>
      <c r="D362" s="301" t="s">
        <v>1397</v>
      </c>
      <c r="E362" s="302" t="s">
        <v>1398</v>
      </c>
      <c r="F362" s="299" t="s">
        <v>37</v>
      </c>
      <c r="G362" s="303">
        <f>IF(H362="","",ROUND(H362/$C$3,2))</f>
        <v>4.51</v>
      </c>
      <c r="H362" s="304">
        <v>95</v>
      </c>
      <c r="I362" s="305"/>
      <c r="J362" s="306">
        <f>IF(H362="","",ROUND(H362*(1+IF(I362="",0,I362)),2))</f>
        <v>95</v>
      </c>
      <c r="K362" s="307">
        <v>1</v>
      </c>
      <c r="L362" s="308"/>
    </row>
    <row r="363" spans="1:12" x14ac:dyDescent="0.2">
      <c r="A363" s="199" t="s">
        <v>1349</v>
      </c>
      <c r="B363" s="171" t="s">
        <v>1383</v>
      </c>
      <c r="C363" s="213" t="s">
        <v>1399</v>
      </c>
      <c r="D363" s="227" t="s">
        <v>1400</v>
      </c>
      <c r="E363" s="157" t="s">
        <v>1401</v>
      </c>
      <c r="F363" s="171" t="s">
        <v>37</v>
      </c>
      <c r="G363" s="241">
        <f>IF(H363="","",ROUND(H363/$C$3,2))</f>
        <v>3.94</v>
      </c>
      <c r="H363" s="255">
        <v>83</v>
      </c>
      <c r="I363" s="269"/>
      <c r="J363" s="282">
        <f>IF(H363="","",ROUND(H363*(1+IF(I363="",0,I363)),2))</f>
        <v>83</v>
      </c>
      <c r="K363" s="185">
        <v>1</v>
      </c>
      <c r="L363" s="285"/>
    </row>
    <row r="364" spans="1:12" x14ac:dyDescent="0.2">
      <c r="A364" s="298" t="s">
        <v>1349</v>
      </c>
      <c r="B364" s="299" t="s">
        <v>1402</v>
      </c>
      <c r="C364" s="300" t="s">
        <v>1403</v>
      </c>
      <c r="D364" s="301" t="s">
        <v>1404</v>
      </c>
      <c r="E364" s="302" t="s">
        <v>1405</v>
      </c>
      <c r="F364" s="299" t="s">
        <v>37</v>
      </c>
      <c r="G364" s="303">
        <f>IF(H364="","",ROUND(H364/$C$3,2))</f>
        <v>17.59</v>
      </c>
      <c r="H364" s="304">
        <v>370.77</v>
      </c>
      <c r="I364" s="305"/>
      <c r="J364" s="306">
        <f>IF(H364="","",ROUND(H364*(1+IF(I364="",0,I364)),2))</f>
        <v>370.77</v>
      </c>
      <c r="K364" s="307">
        <v>1</v>
      </c>
      <c r="L364" s="308"/>
    </row>
    <row r="365" spans="1:12" x14ac:dyDescent="0.2">
      <c r="A365" s="199" t="s">
        <v>1349</v>
      </c>
      <c r="B365" s="171" t="s">
        <v>1402</v>
      </c>
      <c r="C365" s="213" t="s">
        <v>1406</v>
      </c>
      <c r="D365" s="227" t="s">
        <v>1407</v>
      </c>
      <c r="E365" s="157" t="s">
        <v>1408</v>
      </c>
      <c r="F365" s="171" t="s">
        <v>37</v>
      </c>
      <c r="G365" s="241">
        <f>IF(H365="","",ROUND(H365/$C$3,2))</f>
        <v>2.94</v>
      </c>
      <c r="H365" s="255">
        <v>62</v>
      </c>
      <c r="I365" s="269"/>
      <c r="J365" s="282">
        <f>IF(H365="","",ROUND(H365*(1+IF(I365="",0,I365)),2))</f>
        <v>62</v>
      </c>
      <c r="K365" s="185">
        <v>1</v>
      </c>
      <c r="L365" s="285"/>
    </row>
    <row r="366" spans="1:12" x14ac:dyDescent="0.2">
      <c r="A366" s="298" t="s">
        <v>1349</v>
      </c>
      <c r="B366" s="299" t="s">
        <v>1402</v>
      </c>
      <c r="C366" s="300" t="s">
        <v>1409</v>
      </c>
      <c r="D366" s="301"/>
      <c r="E366" s="302" t="s">
        <v>1410</v>
      </c>
      <c r="F366" s="299" t="s">
        <v>37</v>
      </c>
      <c r="G366" s="303">
        <f>IF(H366="","",ROUND(H366/$C$3,2))</f>
        <v>55.44</v>
      </c>
      <c r="H366" s="304">
        <v>1168.68</v>
      </c>
      <c r="I366" s="305"/>
      <c r="J366" s="306">
        <f>IF(H366="","",ROUND(H366*(1+IF(I366="",0,I366)),2))</f>
        <v>1168.68</v>
      </c>
      <c r="K366" s="307"/>
      <c r="L366" s="308"/>
    </row>
    <row r="367" spans="1:12" x14ac:dyDescent="0.2">
      <c r="A367" s="199" t="s">
        <v>1349</v>
      </c>
      <c r="B367" s="171" t="s">
        <v>1402</v>
      </c>
      <c r="C367" s="213" t="s">
        <v>1411</v>
      </c>
      <c r="D367" s="227"/>
      <c r="E367" s="157" t="s">
        <v>1412</v>
      </c>
      <c r="F367" s="171" t="s">
        <v>37</v>
      </c>
      <c r="G367" s="241">
        <f>IF(H367="","",ROUND(H367/$C$3,2))</f>
        <v>92.4</v>
      </c>
      <c r="H367" s="255">
        <v>1947.79</v>
      </c>
      <c r="I367" s="269"/>
      <c r="J367" s="282">
        <f>IF(H367="","",ROUND(H367*(1+IF(I367="",0,I367)),2))</f>
        <v>1947.79</v>
      </c>
      <c r="K367" s="185"/>
      <c r="L367" s="285"/>
    </row>
    <row r="368" spans="1:12" x14ac:dyDescent="0.2">
      <c r="A368" s="298" t="s">
        <v>1349</v>
      </c>
      <c r="B368" s="299" t="s">
        <v>1402</v>
      </c>
      <c r="C368" s="300" t="s">
        <v>1413</v>
      </c>
      <c r="D368" s="301" t="s">
        <v>1414</v>
      </c>
      <c r="E368" s="302" t="s">
        <v>1415</v>
      </c>
      <c r="F368" s="299" t="s">
        <v>37</v>
      </c>
      <c r="G368" s="303">
        <f>IF(H368="","",ROUND(H368/$C$3,2))</f>
        <v>0.35</v>
      </c>
      <c r="H368" s="304">
        <v>7.33</v>
      </c>
      <c r="I368" s="305"/>
      <c r="J368" s="306">
        <f>IF(H368="","",ROUND(H368*(1+IF(I368="",0,I368)),2))</f>
        <v>7.33</v>
      </c>
      <c r="K368" s="307">
        <v>1</v>
      </c>
      <c r="L368" s="308"/>
    </row>
    <row r="369" spans="1:12" x14ac:dyDescent="0.2">
      <c r="A369" s="199" t="s">
        <v>1349</v>
      </c>
      <c r="B369" s="171" t="s">
        <v>1402</v>
      </c>
      <c r="C369" s="213" t="s">
        <v>1416</v>
      </c>
      <c r="D369" s="227" t="s">
        <v>1417</v>
      </c>
      <c r="E369" s="157" t="s">
        <v>1418</v>
      </c>
      <c r="F369" s="171" t="s">
        <v>37</v>
      </c>
      <c r="G369" s="241">
        <f>IF(H369="","",ROUND(H369/$C$3,2))</f>
        <v>47.58</v>
      </c>
      <c r="H369" s="255">
        <v>1003</v>
      </c>
      <c r="I369" s="269"/>
      <c r="J369" s="282">
        <f>IF(H369="","",ROUND(H369*(1+IF(I369="",0,I369)),2))</f>
        <v>1003</v>
      </c>
      <c r="K369" s="185">
        <v>1</v>
      </c>
      <c r="L369" s="285"/>
    </row>
    <row r="370" spans="1:12" x14ac:dyDescent="0.2">
      <c r="A370" s="298" t="s">
        <v>1349</v>
      </c>
      <c r="B370" s="299" t="s">
        <v>1402</v>
      </c>
      <c r="C370" s="300" t="s">
        <v>1419</v>
      </c>
      <c r="D370" s="301" t="s">
        <v>1420</v>
      </c>
      <c r="E370" s="302" t="s">
        <v>1421</v>
      </c>
      <c r="F370" s="299" t="s">
        <v>37</v>
      </c>
      <c r="G370" s="303">
        <f>IF(H370="","",ROUND(H370/$C$3,2))</f>
        <v>16.98</v>
      </c>
      <c r="H370" s="304">
        <v>358</v>
      </c>
      <c r="I370" s="305"/>
      <c r="J370" s="306">
        <f>IF(H370="","",ROUND(H370*(1+IF(I370="",0,I370)),2))</f>
        <v>358</v>
      </c>
      <c r="K370" s="307">
        <v>1</v>
      </c>
      <c r="L370" s="308"/>
    </row>
    <row r="371" spans="1:12" x14ac:dyDescent="0.2">
      <c r="A371" s="199" t="s">
        <v>1349</v>
      </c>
      <c r="B371" s="171" t="s">
        <v>1402</v>
      </c>
      <c r="C371" s="213" t="s">
        <v>1422</v>
      </c>
      <c r="D371" s="227" t="s">
        <v>1423</v>
      </c>
      <c r="E371" s="157" t="s">
        <v>1424</v>
      </c>
      <c r="F371" s="171" t="s">
        <v>37</v>
      </c>
      <c r="G371" s="241">
        <f>IF(H371="","",ROUND(H371/$C$3,2))</f>
        <v>34.020000000000003</v>
      </c>
      <c r="H371" s="255">
        <v>717.05</v>
      </c>
      <c r="I371" s="269"/>
      <c r="J371" s="282">
        <f>IF(H371="","",ROUND(H371*(1+IF(I371="",0,I371)),2))</f>
        <v>717.05</v>
      </c>
      <c r="K371" s="185">
        <v>1</v>
      </c>
      <c r="L371" s="285"/>
    </row>
    <row r="372" spans="1:12" x14ac:dyDescent="0.2">
      <c r="A372" s="298" t="s">
        <v>1349</v>
      </c>
      <c r="B372" s="299" t="s">
        <v>1402</v>
      </c>
      <c r="C372" s="300" t="s">
        <v>1425</v>
      </c>
      <c r="D372" s="301" t="s">
        <v>1426</v>
      </c>
      <c r="E372" s="302" t="s">
        <v>1427</v>
      </c>
      <c r="F372" s="299" t="s">
        <v>37</v>
      </c>
      <c r="G372" s="303">
        <f>IF(H372="","",ROUND(H372/$C$3,2))</f>
        <v>56.07</v>
      </c>
      <c r="H372" s="304">
        <v>1182</v>
      </c>
      <c r="I372" s="305"/>
      <c r="J372" s="306">
        <f>IF(H372="","",ROUND(H372*(1+IF(I372="",0,I372)),2))</f>
        <v>1182</v>
      </c>
      <c r="K372" s="307">
        <v>1</v>
      </c>
      <c r="L372" s="308"/>
    </row>
    <row r="373" spans="1:12" x14ac:dyDescent="0.2">
      <c r="A373" s="199" t="s">
        <v>1349</v>
      </c>
      <c r="B373" s="171" t="s">
        <v>1402</v>
      </c>
      <c r="C373" s="213" t="s">
        <v>1428</v>
      </c>
      <c r="D373" s="227" t="s">
        <v>1429</v>
      </c>
      <c r="E373" s="157" t="s">
        <v>1430</v>
      </c>
      <c r="F373" s="171" t="s">
        <v>37</v>
      </c>
      <c r="G373" s="241">
        <f>IF(H373="","",ROUND(H373/$C$3,2))</f>
        <v>119.54</v>
      </c>
      <c r="H373" s="255">
        <v>2520</v>
      </c>
      <c r="I373" s="269"/>
      <c r="J373" s="282">
        <f>IF(H373="","",ROUND(H373*(1+IF(I373="",0,I373)),2))</f>
        <v>2520</v>
      </c>
      <c r="K373" s="185">
        <v>1</v>
      </c>
      <c r="L373" s="285"/>
    </row>
    <row r="374" spans="1:12" x14ac:dyDescent="0.2">
      <c r="A374" s="298" t="s">
        <v>1349</v>
      </c>
      <c r="B374" s="299" t="s">
        <v>1402</v>
      </c>
      <c r="C374" s="300" t="s">
        <v>1431</v>
      </c>
      <c r="D374" s="301" t="s">
        <v>1432</v>
      </c>
      <c r="E374" s="302" t="s">
        <v>1433</v>
      </c>
      <c r="F374" s="299" t="s">
        <v>37</v>
      </c>
      <c r="G374" s="303">
        <f>IF(H374="","",ROUND(H374/$C$3,2))</f>
        <v>66.17</v>
      </c>
      <c r="H374" s="304">
        <v>1394.77</v>
      </c>
      <c r="I374" s="305"/>
      <c r="J374" s="306">
        <f>IF(H374="","",ROUND(H374*(1+IF(I374="",0,I374)),2))</f>
        <v>1394.77</v>
      </c>
      <c r="K374" s="307">
        <v>1</v>
      </c>
      <c r="L374" s="308"/>
    </row>
    <row r="375" spans="1:12" x14ac:dyDescent="0.2">
      <c r="A375" s="199" t="s">
        <v>1349</v>
      </c>
      <c r="B375" s="171" t="s">
        <v>1402</v>
      </c>
      <c r="C375" s="213" t="s">
        <v>1434</v>
      </c>
      <c r="D375" s="227" t="s">
        <v>1435</v>
      </c>
      <c r="E375" s="157" t="s">
        <v>1436</v>
      </c>
      <c r="F375" s="171" t="s">
        <v>37</v>
      </c>
      <c r="G375" s="241">
        <f>IF(H375="","",ROUND(H375/$C$3,2))</f>
        <v>49.34</v>
      </c>
      <c r="H375" s="255">
        <v>1040</v>
      </c>
      <c r="I375" s="269"/>
      <c r="J375" s="282">
        <f>IF(H375="","",ROUND(H375*(1+IF(I375="",0,I375)),2))</f>
        <v>1040</v>
      </c>
      <c r="K375" s="185">
        <v>1</v>
      </c>
      <c r="L375" s="285"/>
    </row>
    <row r="376" spans="1:12" x14ac:dyDescent="0.2">
      <c r="A376" s="298" t="s">
        <v>1349</v>
      </c>
      <c r="B376" s="299" t="s">
        <v>1437</v>
      </c>
      <c r="C376" s="300" t="s">
        <v>1438</v>
      </c>
      <c r="D376" s="301" t="s">
        <v>1439</v>
      </c>
      <c r="E376" s="302" t="s">
        <v>1440</v>
      </c>
      <c r="F376" s="299" t="s">
        <v>1441</v>
      </c>
      <c r="G376" s="303">
        <f>IF(H376="","",ROUND(H376/$C$3,2))</f>
        <v>8.18</v>
      </c>
      <c r="H376" s="304">
        <v>172.5</v>
      </c>
      <c r="I376" s="305"/>
      <c r="J376" s="306">
        <f>IF(H376="","",ROUND(H376*(1+IF(I376="",0,I376)),2))</f>
        <v>172.5</v>
      </c>
      <c r="K376" s="307">
        <v>2</v>
      </c>
      <c r="L376" s="308"/>
    </row>
    <row r="377" spans="1:12" x14ac:dyDescent="0.2">
      <c r="A377" s="199" t="s">
        <v>1349</v>
      </c>
      <c r="B377" s="171" t="s">
        <v>1437</v>
      </c>
      <c r="C377" s="213" t="s">
        <v>1442</v>
      </c>
      <c r="D377" s="227" t="s">
        <v>1443</v>
      </c>
      <c r="E377" s="157" t="s">
        <v>1444</v>
      </c>
      <c r="F377" s="171" t="s">
        <v>1445</v>
      </c>
      <c r="G377" s="241">
        <f>IF(H377="","",ROUND(H377/$C$3,2))</f>
        <v>204.58</v>
      </c>
      <c r="H377" s="255">
        <v>4312.5</v>
      </c>
      <c r="I377" s="269"/>
      <c r="J377" s="282">
        <f>IF(H377="","",ROUND(H377*(1+IF(I377="",0,I377)),2))</f>
        <v>4312.5</v>
      </c>
      <c r="K377" s="185">
        <v>2</v>
      </c>
      <c r="L377" s="285"/>
    </row>
    <row r="378" spans="1:12" x14ac:dyDescent="0.2">
      <c r="A378" s="298" t="s">
        <v>1349</v>
      </c>
      <c r="B378" s="299" t="s">
        <v>1437</v>
      </c>
      <c r="C378" s="300" t="s">
        <v>1446</v>
      </c>
      <c r="D378" s="301" t="s">
        <v>1447</v>
      </c>
      <c r="E378" s="302" t="s">
        <v>1448</v>
      </c>
      <c r="F378" s="299" t="s">
        <v>1441</v>
      </c>
      <c r="G378" s="303">
        <f>IF(H378="","",ROUND(H378/$C$3,2))</f>
        <v>33.21</v>
      </c>
      <c r="H378" s="304">
        <v>700</v>
      </c>
      <c r="I378" s="305"/>
      <c r="J378" s="306">
        <f>IF(H378="","",ROUND(H378*(1+IF(I378="",0,I378)),2))</f>
        <v>700</v>
      </c>
      <c r="K378" s="307">
        <v>2</v>
      </c>
      <c r="L378" s="308"/>
    </row>
    <row r="379" spans="1:12" x14ac:dyDescent="0.2">
      <c r="A379" s="199" t="s">
        <v>1349</v>
      </c>
      <c r="B379" s="171" t="s">
        <v>1437</v>
      </c>
      <c r="C379" s="213" t="s">
        <v>1449</v>
      </c>
      <c r="D379" s="227" t="s">
        <v>1450</v>
      </c>
      <c r="E379" s="157" t="s">
        <v>1451</v>
      </c>
      <c r="F379" s="171" t="s">
        <v>1445</v>
      </c>
      <c r="G379" s="241">
        <f>IF(H379="","",ROUND(H379/$C$3,2))</f>
        <v>189.75</v>
      </c>
      <c r="H379" s="255">
        <v>4000</v>
      </c>
      <c r="I379" s="269"/>
      <c r="J379" s="282">
        <f>IF(H379="","",ROUND(H379*(1+IF(I379="",0,I379)),2))</f>
        <v>4000</v>
      </c>
      <c r="K379" s="185">
        <v>2</v>
      </c>
      <c r="L379" s="285"/>
    </row>
    <row r="380" spans="1:12" x14ac:dyDescent="0.2">
      <c r="A380" s="298" t="s">
        <v>1349</v>
      </c>
      <c r="B380" s="299" t="s">
        <v>1437</v>
      </c>
      <c r="C380" s="300" t="s">
        <v>1452</v>
      </c>
      <c r="D380" s="301" t="s">
        <v>1453</v>
      </c>
      <c r="E380" s="302" t="s">
        <v>1454</v>
      </c>
      <c r="F380" s="299" t="s">
        <v>1441</v>
      </c>
      <c r="G380" s="303">
        <f>IF(H380="","",ROUND(H380/$C$3,2))</f>
        <v>56.93</v>
      </c>
      <c r="H380" s="304">
        <v>1200</v>
      </c>
      <c r="I380" s="305"/>
      <c r="J380" s="306">
        <f>IF(H380="","",ROUND(H380*(1+IF(I380="",0,I380)),2))</f>
        <v>1200</v>
      </c>
      <c r="K380" s="307">
        <v>2</v>
      </c>
      <c r="L380" s="308"/>
    </row>
    <row r="381" spans="1:12" x14ac:dyDescent="0.2">
      <c r="A381" s="199" t="s">
        <v>1349</v>
      </c>
      <c r="B381" s="171" t="s">
        <v>1437</v>
      </c>
      <c r="C381" s="213" t="s">
        <v>1455</v>
      </c>
      <c r="D381" s="227" t="s">
        <v>1456</v>
      </c>
      <c r="E381" s="157" t="s">
        <v>1457</v>
      </c>
      <c r="F381" s="171" t="s">
        <v>1445</v>
      </c>
      <c r="G381" s="241">
        <f>IF(H381="","",ROUND(H381/$C$3,2))</f>
        <v>498.1</v>
      </c>
      <c r="H381" s="255">
        <v>10500</v>
      </c>
      <c r="I381" s="269"/>
      <c r="J381" s="282">
        <f>IF(H381="","",ROUND(H381*(1+IF(I381="",0,I381)),2))</f>
        <v>10500</v>
      </c>
      <c r="K381" s="185">
        <v>2</v>
      </c>
      <c r="L381" s="285"/>
    </row>
    <row r="382" spans="1:12" x14ac:dyDescent="0.2">
      <c r="A382" s="298" t="s">
        <v>1349</v>
      </c>
      <c r="B382" s="299" t="s">
        <v>148</v>
      </c>
      <c r="C382" s="300" t="s">
        <v>1458</v>
      </c>
      <c r="D382" s="301" t="s">
        <v>1459</v>
      </c>
      <c r="E382" s="302" t="s">
        <v>1460</v>
      </c>
      <c r="F382" s="299" t="s">
        <v>146</v>
      </c>
      <c r="G382" s="303">
        <f>IF(H382="","",ROUND(H382/$C$3,2))</f>
        <v>3.61</v>
      </c>
      <c r="H382" s="304">
        <v>76.17</v>
      </c>
      <c r="I382" s="305"/>
      <c r="J382" s="306">
        <f>IF(H382="","",ROUND(H382*(1+IF(I382="",0,I382)),2))</f>
        <v>76.17</v>
      </c>
      <c r="K382" s="307">
        <v>1</v>
      </c>
      <c r="L382" s="308"/>
    </row>
    <row r="383" spans="1:12" x14ac:dyDescent="0.2">
      <c r="A383" s="199" t="s">
        <v>1349</v>
      </c>
      <c r="B383" s="171" t="s">
        <v>1461</v>
      </c>
      <c r="C383" s="213" t="s">
        <v>1462</v>
      </c>
      <c r="D383" s="227" t="s">
        <v>1463</v>
      </c>
      <c r="E383" s="157" t="s">
        <v>1464</v>
      </c>
      <c r="F383" s="171" t="s">
        <v>661</v>
      </c>
      <c r="G383" s="241">
        <f>IF(H383="","",ROUND(H383/$C$3,2))</f>
        <v>0.53</v>
      </c>
      <c r="H383" s="255">
        <v>11.25</v>
      </c>
      <c r="I383" s="269"/>
      <c r="J383" s="282">
        <f>IF(H383="","",ROUND(H383*(1+IF(I383="",0,I383)),2))</f>
        <v>11.25</v>
      </c>
      <c r="K383" s="185">
        <v>1</v>
      </c>
      <c r="L383" s="285"/>
    </row>
    <row r="384" spans="1:12" x14ac:dyDescent="0.2">
      <c r="A384" s="298" t="s">
        <v>1349</v>
      </c>
      <c r="B384" s="299" t="s">
        <v>1465</v>
      </c>
      <c r="C384" s="300" t="s">
        <v>1466</v>
      </c>
      <c r="D384" s="301" t="s">
        <v>1467</v>
      </c>
      <c r="E384" s="302" t="s">
        <v>1468</v>
      </c>
      <c r="F384" s="299" t="s">
        <v>37</v>
      </c>
      <c r="G384" s="303">
        <f>IF(H384="","",ROUND(H384/$C$3,2))</f>
        <v>3.36</v>
      </c>
      <c r="H384" s="304">
        <v>70.84</v>
      </c>
      <c r="I384" s="305"/>
      <c r="J384" s="306">
        <f>IF(H384="","",ROUND(H384*(1+IF(I384="",0,I384)),2))</f>
        <v>70.84</v>
      </c>
      <c r="K384" s="307">
        <v>1</v>
      </c>
      <c r="L384" s="308"/>
    </row>
    <row r="385" spans="1:12" x14ac:dyDescent="0.2">
      <c r="A385" s="199" t="s">
        <v>1349</v>
      </c>
      <c r="B385" s="171" t="s">
        <v>1465</v>
      </c>
      <c r="C385" s="213" t="s">
        <v>1469</v>
      </c>
      <c r="D385" s="227" t="s">
        <v>1470</v>
      </c>
      <c r="E385" s="157" t="s">
        <v>1471</v>
      </c>
      <c r="F385" s="171" t="s">
        <v>37</v>
      </c>
      <c r="G385" s="241">
        <f>IF(H385="","",ROUND(H385/$C$3,2))</f>
        <v>8.4</v>
      </c>
      <c r="H385" s="255">
        <v>177</v>
      </c>
      <c r="I385" s="269"/>
      <c r="J385" s="282">
        <f>IF(H385="","",ROUND(H385*(1+IF(I385="",0,I385)),2))</f>
        <v>177</v>
      </c>
      <c r="K385" s="185">
        <v>1</v>
      </c>
      <c r="L385" s="285"/>
    </row>
    <row r="386" spans="1:12" x14ac:dyDescent="0.2">
      <c r="A386" s="298" t="s">
        <v>1349</v>
      </c>
      <c r="B386" s="299" t="s">
        <v>1465</v>
      </c>
      <c r="C386" s="300" t="s">
        <v>1472</v>
      </c>
      <c r="D386" s="301" t="s">
        <v>1473</v>
      </c>
      <c r="E386" s="302" t="s">
        <v>1474</v>
      </c>
      <c r="F386" s="299" t="s">
        <v>661</v>
      </c>
      <c r="G386" s="303">
        <f>IF(H386="","",ROUND(H386/$C$3,2))</f>
        <v>3.1</v>
      </c>
      <c r="H386" s="304">
        <v>65.430000000000007</v>
      </c>
      <c r="I386" s="305"/>
      <c r="J386" s="306">
        <f>IF(H386="","",ROUND(H386*(1+IF(I386="",0,I386)),2))</f>
        <v>65.430000000000007</v>
      </c>
      <c r="K386" s="307">
        <v>1</v>
      </c>
      <c r="L386" s="308"/>
    </row>
    <row r="387" spans="1:12" x14ac:dyDescent="0.2">
      <c r="A387" s="199" t="s">
        <v>1349</v>
      </c>
      <c r="B387" s="171" t="s">
        <v>1465</v>
      </c>
      <c r="C387" s="213" t="s">
        <v>1475</v>
      </c>
      <c r="D387" s="227" t="s">
        <v>1476</v>
      </c>
      <c r="E387" s="157" t="s">
        <v>1477</v>
      </c>
      <c r="F387" s="171" t="s">
        <v>661</v>
      </c>
      <c r="G387" s="241">
        <f>IF(H387="","",ROUND(H387/$C$3,2))</f>
        <v>0.74</v>
      </c>
      <c r="H387" s="255">
        <v>15.5</v>
      </c>
      <c r="I387" s="269"/>
      <c r="J387" s="282">
        <f>IF(H387="","",ROUND(H387*(1+IF(I387="",0,I387)),2))</f>
        <v>15.5</v>
      </c>
      <c r="K387" s="185">
        <v>1</v>
      </c>
      <c r="L387" s="285"/>
    </row>
    <row r="388" spans="1:12" x14ac:dyDescent="0.2">
      <c r="A388" s="298" t="s">
        <v>1349</v>
      </c>
      <c r="B388" s="299" t="s">
        <v>703</v>
      </c>
      <c r="C388" s="300" t="s">
        <v>1478</v>
      </c>
      <c r="D388" s="301" t="s">
        <v>1479</v>
      </c>
      <c r="E388" s="302" t="s">
        <v>1480</v>
      </c>
      <c r="F388" s="299" t="s">
        <v>37</v>
      </c>
      <c r="G388" s="303">
        <f>IF(H388="","",ROUND(H388/$C$3,2))</f>
        <v>0.43</v>
      </c>
      <c r="H388" s="304">
        <v>8.9600000000000009</v>
      </c>
      <c r="I388" s="305"/>
      <c r="J388" s="306">
        <f>IF(H388="","",ROUND(H388*(1+IF(I388="",0,I388)),2))</f>
        <v>8.9600000000000009</v>
      </c>
      <c r="K388" s="307">
        <v>1</v>
      </c>
      <c r="L388" s="308"/>
    </row>
    <row r="389" spans="1:12" x14ac:dyDescent="0.2">
      <c r="A389" s="199" t="s">
        <v>1349</v>
      </c>
      <c r="B389" s="171" t="s">
        <v>1481</v>
      </c>
      <c r="C389" s="213" t="s">
        <v>1482</v>
      </c>
      <c r="D389" s="227" t="s">
        <v>1483</v>
      </c>
      <c r="E389" s="157" t="s">
        <v>1484</v>
      </c>
      <c r="F389" s="171" t="s">
        <v>661</v>
      </c>
      <c r="G389" s="241">
        <f>IF(H389="","",ROUND(H389/$C$3,2))</f>
        <v>0.59</v>
      </c>
      <c r="H389" s="255">
        <v>12.5</v>
      </c>
      <c r="I389" s="269"/>
      <c r="J389" s="282">
        <f>IF(H389="","",ROUND(H389*(1+IF(I389="",0,I389)),2))</f>
        <v>12.5</v>
      </c>
      <c r="K389" s="185">
        <v>1</v>
      </c>
      <c r="L389" s="285"/>
    </row>
    <row r="390" spans="1:12" x14ac:dyDescent="0.2">
      <c r="A390" s="298" t="s">
        <v>1349</v>
      </c>
      <c r="B390" s="299" t="s">
        <v>1481</v>
      </c>
      <c r="C390" s="300" t="s">
        <v>1485</v>
      </c>
      <c r="D390" s="301" t="s">
        <v>1486</v>
      </c>
      <c r="E390" s="302" t="s">
        <v>1487</v>
      </c>
      <c r="F390" s="299" t="s">
        <v>661</v>
      </c>
      <c r="G390" s="303">
        <f>IF(H390="","",ROUND(H390/$C$3,2))</f>
        <v>1.1399999999999999</v>
      </c>
      <c r="H390" s="304">
        <v>24</v>
      </c>
      <c r="I390" s="305"/>
      <c r="J390" s="306">
        <f>IF(H390="","",ROUND(H390*(1+IF(I390="",0,I390)),2))</f>
        <v>24</v>
      </c>
      <c r="K390" s="307">
        <v>1</v>
      </c>
      <c r="L390" s="308"/>
    </row>
    <row r="391" spans="1:12" x14ac:dyDescent="0.2">
      <c r="A391" s="199"/>
      <c r="B391" s="171"/>
      <c r="C391" s="213"/>
      <c r="D391" s="227"/>
      <c r="E391" s="157"/>
      <c r="F391" s="171"/>
      <c r="G391" s="241"/>
      <c r="H391" s="255"/>
      <c r="I391" s="269"/>
      <c r="J391" s="282"/>
      <c r="K391" s="185"/>
      <c r="L391" s="285"/>
    </row>
    <row r="392" spans="1:12" ht="22" customHeight="1" x14ac:dyDescent="0.2">
      <c r="A392" s="209" t="s">
        <v>1488</v>
      </c>
      <c r="B392" s="181"/>
      <c r="C392" s="223"/>
      <c r="D392" s="237"/>
      <c r="E392" s="167"/>
      <c r="F392" s="181"/>
      <c r="G392" s="251"/>
      <c r="H392" s="265"/>
      <c r="I392" s="279"/>
      <c r="J392" s="251"/>
      <c r="K392" s="195"/>
      <c r="L392" s="295"/>
    </row>
    <row r="393" spans="1:12" x14ac:dyDescent="0.2">
      <c r="A393" s="298" t="s">
        <v>1489</v>
      </c>
      <c r="B393" s="299" t="s">
        <v>148</v>
      </c>
      <c r="C393" s="300" t="s">
        <v>1490</v>
      </c>
      <c r="D393" s="301" t="s">
        <v>1491</v>
      </c>
      <c r="E393" s="302" t="s">
        <v>1492</v>
      </c>
      <c r="F393" s="299" t="s">
        <v>1336</v>
      </c>
      <c r="G393" s="303">
        <f>IF(H393="","",ROUND(H393/$C$3,2))</f>
        <v>3.7</v>
      </c>
      <c r="H393" s="304">
        <v>78.069999999999993</v>
      </c>
      <c r="I393" s="305"/>
      <c r="J393" s="306">
        <f>IF(H393="","",ROUND(H393*(1+IF(I393="",0,I393)),2))</f>
        <v>78.069999999999993</v>
      </c>
      <c r="K393" s="307">
        <v>1</v>
      </c>
      <c r="L393" s="308"/>
    </row>
    <row r="394" spans="1:12" x14ac:dyDescent="0.2">
      <c r="A394" s="199"/>
      <c r="B394" s="171"/>
      <c r="C394" s="213"/>
      <c r="D394" s="227"/>
      <c r="E394" s="157"/>
      <c r="F394" s="171"/>
      <c r="G394" s="241"/>
      <c r="H394" s="255"/>
      <c r="I394" s="269"/>
      <c r="J394" s="282"/>
      <c r="K394" s="185"/>
      <c r="L394" s="285"/>
    </row>
    <row r="395" spans="1:12" ht="22" customHeight="1" x14ac:dyDescent="0.2">
      <c r="A395" s="210" t="s">
        <v>1493</v>
      </c>
      <c r="B395" s="182"/>
      <c r="C395" s="224"/>
      <c r="D395" s="238"/>
      <c r="E395" s="168"/>
      <c r="F395" s="182"/>
      <c r="G395" s="252"/>
      <c r="H395" s="266"/>
      <c r="I395" s="280"/>
      <c r="J395" s="252"/>
      <c r="K395" s="196"/>
      <c r="L395" s="296"/>
    </row>
    <row r="396" spans="1:12" x14ac:dyDescent="0.2">
      <c r="A396" s="298" t="s">
        <v>1441</v>
      </c>
      <c r="B396" s="299" t="s">
        <v>774</v>
      </c>
      <c r="C396" s="300" t="s">
        <v>1494</v>
      </c>
      <c r="D396" s="301" t="s">
        <v>1495</v>
      </c>
      <c r="E396" s="302" t="s">
        <v>1496</v>
      </c>
      <c r="F396" s="299" t="s">
        <v>1441</v>
      </c>
      <c r="G396" s="303">
        <f>IF(H396="","",ROUND(H396/$C$3,2))</f>
        <v>71.16</v>
      </c>
      <c r="H396" s="304">
        <v>1500</v>
      </c>
      <c r="I396" s="305"/>
      <c r="J396" s="306">
        <f>IF(H396="","",ROUND(H396*(1+IF(I396="",0,I396)),2))</f>
        <v>1500</v>
      </c>
      <c r="K396" s="307">
        <v>1</v>
      </c>
      <c r="L396" s="308"/>
    </row>
    <row r="397" spans="1:12" x14ac:dyDescent="0.2">
      <c r="A397" s="211"/>
      <c r="B397" s="183"/>
      <c r="C397" s="225"/>
      <c r="D397" s="239"/>
      <c r="E397" s="169"/>
      <c r="F397" s="183"/>
      <c r="G397" s="253"/>
      <c r="H397" s="267"/>
      <c r="I397" s="281"/>
      <c r="J397" s="283"/>
      <c r="K397" s="197"/>
      <c r="L397" s="297"/>
    </row>
    <row r="399" spans="1:12" x14ac:dyDescent="0.2">
      <c r="A399" s="309" t="s">
        <v>1497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DA1DA-766F-8B45-A923-3216FC3C4CD4}">
  <dimension ref="A1:H71"/>
  <sheetViews>
    <sheetView workbookViewId="0"/>
  </sheetViews>
  <sheetFormatPr baseColWidth="10" defaultRowHeight="15" x14ac:dyDescent="0.2"/>
  <cols>
    <col min="1" max="1" width="21.6640625" customWidth="1"/>
    <col min="2" max="2" width="20" customWidth="1"/>
    <col min="3" max="5" width="21.6640625" customWidth="1"/>
    <col min="6" max="6" width="36.6640625" customWidth="1"/>
    <col min="8" max="8" width="18.1640625" customWidth="1"/>
  </cols>
  <sheetData>
    <row r="1" spans="1:8" ht="18" x14ac:dyDescent="0.2">
      <c r="A1" s="57" t="s">
        <v>237</v>
      </c>
    </row>
    <row r="2" spans="1:8" x14ac:dyDescent="0.2">
      <c r="A2" s="39" t="s">
        <v>238</v>
      </c>
    </row>
    <row r="4" spans="1:8" x14ac:dyDescent="0.2">
      <c r="A4" s="67" t="s">
        <v>186</v>
      </c>
      <c r="B4" s="67" t="s">
        <v>218</v>
      </c>
      <c r="C4" s="67" t="s">
        <v>219</v>
      </c>
      <c r="D4" s="71" t="s">
        <v>239</v>
      </c>
      <c r="E4" s="71" t="s">
        <v>240</v>
      </c>
      <c r="F4" s="71" t="s">
        <v>241</v>
      </c>
      <c r="G4" s="71" t="s">
        <v>242</v>
      </c>
      <c r="H4" s="67" t="s">
        <v>132</v>
      </c>
    </row>
    <row r="5" spans="1:8" x14ac:dyDescent="0.2">
      <c r="A5" s="91" t="s">
        <v>192</v>
      </c>
      <c r="B5" s="92" t="s">
        <v>226</v>
      </c>
      <c r="C5" s="126">
        <v>0.5</v>
      </c>
      <c r="D5" s="127">
        <v>522</v>
      </c>
      <c r="E5" s="127">
        <v>472</v>
      </c>
      <c r="F5" s="127">
        <v>495</v>
      </c>
      <c r="G5" s="127">
        <v>174</v>
      </c>
      <c r="H5" s="128" t="s">
        <v>243</v>
      </c>
    </row>
    <row r="6" spans="1:8" x14ac:dyDescent="0.2">
      <c r="A6" s="133" t="s">
        <v>192</v>
      </c>
      <c r="B6" s="134" t="s">
        <v>227</v>
      </c>
      <c r="C6" s="135">
        <v>1</v>
      </c>
      <c r="D6" s="136">
        <v>583</v>
      </c>
      <c r="E6" s="136">
        <v>532</v>
      </c>
      <c r="F6" s="136">
        <v>552</v>
      </c>
      <c r="G6" s="136">
        <v>176</v>
      </c>
      <c r="H6" s="137" t="s">
        <v>244</v>
      </c>
    </row>
    <row r="7" spans="1:8" ht="16" thickBot="1" x14ac:dyDescent="0.25">
      <c r="A7" s="141" t="s">
        <v>192</v>
      </c>
      <c r="B7" s="142" t="s">
        <v>228</v>
      </c>
      <c r="C7" s="143">
        <v>99</v>
      </c>
      <c r="D7" s="144">
        <v>559</v>
      </c>
      <c r="E7" s="144">
        <v>511</v>
      </c>
      <c r="F7" s="144">
        <v>527</v>
      </c>
      <c r="G7" s="144">
        <v>162</v>
      </c>
      <c r="H7" s="145" t="s">
        <v>245</v>
      </c>
    </row>
    <row r="8" spans="1:8" x14ac:dyDescent="0.2">
      <c r="A8" s="110" t="s">
        <v>193</v>
      </c>
      <c r="B8" s="111" t="s">
        <v>226</v>
      </c>
      <c r="C8" s="138">
        <v>0.5</v>
      </c>
      <c r="D8" s="139">
        <v>871</v>
      </c>
      <c r="E8" s="139">
        <v>773</v>
      </c>
      <c r="F8" s="139">
        <v>807</v>
      </c>
      <c r="G8" s="139">
        <v>339</v>
      </c>
      <c r="H8" s="140" t="s">
        <v>246</v>
      </c>
    </row>
    <row r="9" spans="1:8" x14ac:dyDescent="0.2">
      <c r="A9" s="129" t="s">
        <v>193</v>
      </c>
      <c r="B9" s="93" t="s">
        <v>227</v>
      </c>
      <c r="C9" s="130">
        <v>1</v>
      </c>
      <c r="D9" s="131">
        <v>978</v>
      </c>
      <c r="E9" s="131">
        <v>873</v>
      </c>
      <c r="F9" s="131">
        <v>905</v>
      </c>
      <c r="G9" s="131">
        <v>343</v>
      </c>
      <c r="H9" s="132" t="s">
        <v>247</v>
      </c>
    </row>
    <row r="10" spans="1:8" ht="16" thickBot="1" x14ac:dyDescent="0.25">
      <c r="A10" s="146" t="s">
        <v>193</v>
      </c>
      <c r="B10" s="121" t="s">
        <v>228</v>
      </c>
      <c r="C10" s="147">
        <v>99</v>
      </c>
      <c r="D10" s="148">
        <v>883</v>
      </c>
      <c r="E10" s="148">
        <v>791</v>
      </c>
      <c r="F10" s="148">
        <v>817</v>
      </c>
      <c r="G10" s="148">
        <v>316</v>
      </c>
      <c r="H10" s="149" t="s">
        <v>248</v>
      </c>
    </row>
    <row r="11" spans="1:8" x14ac:dyDescent="0.2">
      <c r="A11" s="91" t="s">
        <v>194</v>
      </c>
      <c r="B11" s="92" t="s">
        <v>226</v>
      </c>
      <c r="C11" s="126">
        <v>0.5</v>
      </c>
      <c r="D11" s="127">
        <v>531</v>
      </c>
      <c r="E11" s="127">
        <v>485</v>
      </c>
      <c r="F11" s="127">
        <v>501</v>
      </c>
      <c r="G11" s="127">
        <v>174</v>
      </c>
      <c r="H11" s="128" t="s">
        <v>249</v>
      </c>
    </row>
    <row r="12" spans="1:8" x14ac:dyDescent="0.2">
      <c r="A12" s="133" t="s">
        <v>194</v>
      </c>
      <c r="B12" s="134" t="s">
        <v>227</v>
      </c>
      <c r="C12" s="135">
        <v>1</v>
      </c>
      <c r="D12" s="136">
        <v>494</v>
      </c>
      <c r="E12" s="136">
        <v>448</v>
      </c>
      <c r="F12" s="136">
        <v>462</v>
      </c>
      <c r="G12" s="136">
        <v>176</v>
      </c>
      <c r="H12" s="137" t="s">
        <v>250</v>
      </c>
    </row>
    <row r="13" spans="1:8" ht="16" thickBot="1" x14ac:dyDescent="0.25">
      <c r="A13" s="141" t="s">
        <v>194</v>
      </c>
      <c r="B13" s="142" t="s">
        <v>228</v>
      </c>
      <c r="C13" s="143">
        <v>99</v>
      </c>
      <c r="D13" s="144">
        <v>482</v>
      </c>
      <c r="E13" s="144">
        <v>438</v>
      </c>
      <c r="F13" s="144">
        <v>450</v>
      </c>
      <c r="G13" s="144">
        <v>162</v>
      </c>
      <c r="H13" s="145" t="s">
        <v>251</v>
      </c>
    </row>
    <row r="14" spans="1:8" x14ac:dyDescent="0.2">
      <c r="A14" s="110" t="s">
        <v>195</v>
      </c>
      <c r="B14" s="111" t="s">
        <v>226</v>
      </c>
      <c r="C14" s="138">
        <v>0.5</v>
      </c>
      <c r="D14" s="139">
        <v>584</v>
      </c>
      <c r="E14" s="139">
        <v>534</v>
      </c>
      <c r="F14" s="139">
        <v>551</v>
      </c>
      <c r="G14" s="139">
        <v>191</v>
      </c>
      <c r="H14" s="140" t="s">
        <v>252</v>
      </c>
    </row>
    <row r="15" spans="1:8" x14ac:dyDescent="0.2">
      <c r="A15" s="129" t="s">
        <v>195</v>
      </c>
      <c r="B15" s="93" t="s">
        <v>227</v>
      </c>
      <c r="C15" s="130">
        <v>1</v>
      </c>
      <c r="D15" s="131">
        <v>543</v>
      </c>
      <c r="E15" s="131">
        <v>493</v>
      </c>
      <c r="F15" s="131">
        <v>508</v>
      </c>
      <c r="G15" s="131">
        <v>194</v>
      </c>
      <c r="H15" s="132" t="s">
        <v>253</v>
      </c>
    </row>
    <row r="16" spans="1:8" ht="16" thickBot="1" x14ac:dyDescent="0.25">
      <c r="A16" s="146" t="s">
        <v>195</v>
      </c>
      <c r="B16" s="121" t="s">
        <v>228</v>
      </c>
      <c r="C16" s="147">
        <v>99</v>
      </c>
      <c r="D16" s="148">
        <v>530</v>
      </c>
      <c r="E16" s="148">
        <v>482</v>
      </c>
      <c r="F16" s="148">
        <v>495</v>
      </c>
      <c r="G16" s="148">
        <v>178</v>
      </c>
      <c r="H16" s="149" t="s">
        <v>254</v>
      </c>
    </row>
    <row r="17" spans="1:8" x14ac:dyDescent="0.2">
      <c r="A17" s="91" t="s">
        <v>196</v>
      </c>
      <c r="B17" s="92" t="s">
        <v>226</v>
      </c>
      <c r="C17" s="126">
        <v>0.5</v>
      </c>
      <c r="D17" s="127">
        <v>779</v>
      </c>
      <c r="E17" s="127">
        <v>686</v>
      </c>
      <c r="F17" s="127">
        <v>714</v>
      </c>
      <c r="G17" s="127">
        <v>174</v>
      </c>
      <c r="H17" s="128" t="s">
        <v>255</v>
      </c>
    </row>
    <row r="18" spans="1:8" x14ac:dyDescent="0.2">
      <c r="A18" s="133" t="s">
        <v>196</v>
      </c>
      <c r="B18" s="134" t="s">
        <v>227</v>
      </c>
      <c r="C18" s="135">
        <v>1</v>
      </c>
      <c r="D18" s="136">
        <v>726</v>
      </c>
      <c r="E18" s="136">
        <v>636</v>
      </c>
      <c r="F18" s="136">
        <v>660</v>
      </c>
      <c r="G18" s="136">
        <v>176</v>
      </c>
      <c r="H18" s="137" t="s">
        <v>256</v>
      </c>
    </row>
    <row r="19" spans="1:8" ht="16" thickBot="1" x14ac:dyDescent="0.25">
      <c r="A19" s="141" t="s">
        <v>196</v>
      </c>
      <c r="B19" s="142" t="s">
        <v>228</v>
      </c>
      <c r="C19" s="143">
        <v>99</v>
      </c>
      <c r="D19" s="144">
        <v>713</v>
      </c>
      <c r="E19" s="144">
        <v>624</v>
      </c>
      <c r="F19" s="144">
        <v>646</v>
      </c>
      <c r="G19" s="144">
        <v>162</v>
      </c>
      <c r="H19" s="145" t="s">
        <v>257</v>
      </c>
    </row>
    <row r="20" spans="1:8" x14ac:dyDescent="0.2">
      <c r="A20" s="110" t="s">
        <v>197</v>
      </c>
      <c r="B20" s="111" t="s">
        <v>226</v>
      </c>
      <c r="C20" s="138">
        <v>0.5</v>
      </c>
      <c r="D20" s="139">
        <v>510</v>
      </c>
      <c r="E20" s="139">
        <v>418</v>
      </c>
      <c r="F20" s="139">
        <v>447</v>
      </c>
      <c r="G20" s="139">
        <v>339</v>
      </c>
      <c r="H20" s="140" t="s">
        <v>258</v>
      </c>
    </row>
    <row r="21" spans="1:8" x14ac:dyDescent="0.2">
      <c r="A21" s="129" t="s">
        <v>197</v>
      </c>
      <c r="B21" s="93" t="s">
        <v>227</v>
      </c>
      <c r="C21" s="130">
        <v>1</v>
      </c>
      <c r="D21" s="131">
        <v>476</v>
      </c>
      <c r="E21" s="131">
        <v>386</v>
      </c>
      <c r="F21" s="131">
        <v>411</v>
      </c>
      <c r="G21" s="131">
        <v>343</v>
      </c>
      <c r="H21" s="132" t="s">
        <v>259</v>
      </c>
    </row>
    <row r="22" spans="1:8" ht="16" thickBot="1" x14ac:dyDescent="0.25">
      <c r="A22" s="146" t="s">
        <v>197</v>
      </c>
      <c r="B22" s="121" t="s">
        <v>228</v>
      </c>
      <c r="C22" s="147">
        <v>99</v>
      </c>
      <c r="D22" s="148">
        <v>461</v>
      </c>
      <c r="E22" s="148">
        <v>371</v>
      </c>
      <c r="F22" s="148">
        <v>394</v>
      </c>
      <c r="G22" s="148">
        <v>316</v>
      </c>
      <c r="H22" s="149" t="s">
        <v>260</v>
      </c>
    </row>
    <row r="23" spans="1:8" x14ac:dyDescent="0.2">
      <c r="A23" s="91" t="s">
        <v>198</v>
      </c>
      <c r="B23" s="92" t="s">
        <v>226</v>
      </c>
      <c r="C23" s="126">
        <v>0.5</v>
      </c>
      <c r="D23" s="127">
        <v>1167</v>
      </c>
      <c r="E23" s="127">
        <v>1076</v>
      </c>
      <c r="F23" s="127">
        <v>1103</v>
      </c>
      <c r="G23" s="127">
        <v>357</v>
      </c>
      <c r="H23" s="128" t="s">
        <v>261</v>
      </c>
    </row>
    <row r="24" spans="1:8" x14ac:dyDescent="0.2">
      <c r="A24" s="133" t="s">
        <v>198</v>
      </c>
      <c r="B24" s="134" t="s">
        <v>227</v>
      </c>
      <c r="C24" s="135">
        <v>1</v>
      </c>
      <c r="D24" s="136">
        <v>1029</v>
      </c>
      <c r="E24" s="136">
        <v>947</v>
      </c>
      <c r="F24" s="136">
        <v>971</v>
      </c>
      <c r="G24" s="136">
        <v>361</v>
      </c>
      <c r="H24" s="137" t="s">
        <v>262</v>
      </c>
    </row>
    <row r="25" spans="1:8" ht="16" thickBot="1" x14ac:dyDescent="0.25">
      <c r="A25" s="141" t="s">
        <v>198</v>
      </c>
      <c r="B25" s="142" t="s">
        <v>228</v>
      </c>
      <c r="C25" s="143">
        <v>99</v>
      </c>
      <c r="D25" s="144">
        <v>1029</v>
      </c>
      <c r="E25" s="144">
        <v>947</v>
      </c>
      <c r="F25" s="144">
        <v>971</v>
      </c>
      <c r="G25" s="144">
        <v>332</v>
      </c>
      <c r="H25" s="145" t="s">
        <v>263</v>
      </c>
    </row>
    <row r="26" spans="1:8" x14ac:dyDescent="0.2">
      <c r="A26" s="110" t="s">
        <v>199</v>
      </c>
      <c r="B26" s="111" t="s">
        <v>226</v>
      </c>
      <c r="C26" s="138">
        <v>0.5</v>
      </c>
      <c r="D26" s="139">
        <v>1050</v>
      </c>
      <c r="E26" s="139">
        <v>940</v>
      </c>
      <c r="F26" s="139">
        <v>1020</v>
      </c>
      <c r="G26" s="139">
        <v>310</v>
      </c>
      <c r="H26" s="140" t="s">
        <v>264</v>
      </c>
    </row>
    <row r="27" spans="1:8" x14ac:dyDescent="0.2">
      <c r="A27" s="129" t="s">
        <v>199</v>
      </c>
      <c r="B27" s="93" t="s">
        <v>227</v>
      </c>
      <c r="C27" s="130">
        <v>1</v>
      </c>
      <c r="D27" s="131">
        <v>1174</v>
      </c>
      <c r="E27" s="131">
        <v>1086</v>
      </c>
      <c r="F27" s="131">
        <v>1145</v>
      </c>
      <c r="G27" s="131">
        <v>282</v>
      </c>
      <c r="H27" s="132" t="s">
        <v>265</v>
      </c>
    </row>
    <row r="28" spans="1:8" ht="16" thickBot="1" x14ac:dyDescent="0.25">
      <c r="A28" s="146" t="s">
        <v>199</v>
      </c>
      <c r="B28" s="121" t="s">
        <v>228</v>
      </c>
      <c r="C28" s="147">
        <v>99</v>
      </c>
      <c r="D28" s="148">
        <v>1174</v>
      </c>
      <c r="E28" s="148">
        <v>1086</v>
      </c>
      <c r="F28" s="148">
        <v>1145</v>
      </c>
      <c r="G28" s="148">
        <v>259</v>
      </c>
      <c r="H28" s="149" t="s">
        <v>266</v>
      </c>
    </row>
    <row r="29" spans="1:8" x14ac:dyDescent="0.2">
      <c r="A29" s="91" t="s">
        <v>200</v>
      </c>
      <c r="B29" s="92" t="s">
        <v>226</v>
      </c>
      <c r="C29" s="126">
        <v>0.5</v>
      </c>
      <c r="D29" s="127">
        <v>600</v>
      </c>
      <c r="E29" s="127">
        <v>500</v>
      </c>
      <c r="F29" s="127">
        <v>530</v>
      </c>
      <c r="G29" s="127">
        <v>365</v>
      </c>
      <c r="H29" s="128" t="s">
        <v>267</v>
      </c>
    </row>
    <row r="30" spans="1:8" x14ac:dyDescent="0.2">
      <c r="A30" s="133" t="s">
        <v>200</v>
      </c>
      <c r="B30" s="134" t="s">
        <v>227</v>
      </c>
      <c r="C30" s="135">
        <v>1</v>
      </c>
      <c r="D30" s="136">
        <v>550</v>
      </c>
      <c r="E30" s="136">
        <v>460</v>
      </c>
      <c r="F30" s="136">
        <v>490</v>
      </c>
      <c r="G30" s="136">
        <v>370</v>
      </c>
      <c r="H30" s="137" t="s">
        <v>268</v>
      </c>
    </row>
    <row r="31" spans="1:8" ht="16" thickBot="1" x14ac:dyDescent="0.25">
      <c r="A31" s="141" t="s">
        <v>200</v>
      </c>
      <c r="B31" s="142" t="s">
        <v>228</v>
      </c>
      <c r="C31" s="143">
        <v>99</v>
      </c>
      <c r="D31" s="144">
        <v>520</v>
      </c>
      <c r="E31" s="144">
        <v>440</v>
      </c>
      <c r="F31" s="144">
        <v>465</v>
      </c>
      <c r="G31" s="144">
        <v>340</v>
      </c>
      <c r="H31" s="145" t="s">
        <v>269</v>
      </c>
    </row>
    <row r="32" spans="1:8" x14ac:dyDescent="0.2">
      <c r="A32" s="110" t="s">
        <v>201</v>
      </c>
      <c r="B32" s="111" t="s">
        <v>226</v>
      </c>
      <c r="C32" s="138">
        <v>0.5</v>
      </c>
      <c r="D32" s="139">
        <v>600</v>
      </c>
      <c r="E32" s="139">
        <v>500</v>
      </c>
      <c r="F32" s="139">
        <v>530</v>
      </c>
      <c r="G32" s="139">
        <v>365</v>
      </c>
      <c r="H32" s="140" t="s">
        <v>270</v>
      </c>
    </row>
    <row r="33" spans="1:8" x14ac:dyDescent="0.2">
      <c r="A33" s="129" t="s">
        <v>201</v>
      </c>
      <c r="B33" s="93" t="s">
        <v>227</v>
      </c>
      <c r="C33" s="130">
        <v>1</v>
      </c>
      <c r="D33" s="131">
        <v>550</v>
      </c>
      <c r="E33" s="131">
        <v>460</v>
      </c>
      <c r="F33" s="131">
        <v>490</v>
      </c>
      <c r="G33" s="131">
        <v>370</v>
      </c>
      <c r="H33" s="132" t="s">
        <v>271</v>
      </c>
    </row>
    <row r="34" spans="1:8" ht="16" thickBot="1" x14ac:dyDescent="0.25">
      <c r="A34" s="146" t="s">
        <v>201</v>
      </c>
      <c r="B34" s="121" t="s">
        <v>228</v>
      </c>
      <c r="C34" s="147">
        <v>99</v>
      </c>
      <c r="D34" s="148">
        <v>520</v>
      </c>
      <c r="E34" s="148">
        <v>440</v>
      </c>
      <c r="F34" s="148">
        <v>465</v>
      </c>
      <c r="G34" s="148">
        <v>340</v>
      </c>
      <c r="H34" s="149" t="s">
        <v>272</v>
      </c>
    </row>
    <row r="35" spans="1:8" x14ac:dyDescent="0.2">
      <c r="A35" s="91" t="s">
        <v>202</v>
      </c>
      <c r="B35" s="92" t="s">
        <v>226</v>
      </c>
      <c r="C35" s="126">
        <v>0.5</v>
      </c>
      <c r="D35" s="127">
        <v>600</v>
      </c>
      <c r="E35" s="127">
        <v>500</v>
      </c>
      <c r="F35" s="127">
        <v>530</v>
      </c>
      <c r="G35" s="127">
        <v>200</v>
      </c>
      <c r="H35" s="128" t="s">
        <v>273</v>
      </c>
    </row>
    <row r="36" spans="1:8" x14ac:dyDescent="0.2">
      <c r="A36" s="133" t="s">
        <v>202</v>
      </c>
      <c r="B36" s="134" t="s">
        <v>227</v>
      </c>
      <c r="C36" s="135">
        <v>1</v>
      </c>
      <c r="D36" s="136">
        <v>550</v>
      </c>
      <c r="E36" s="136">
        <v>460</v>
      </c>
      <c r="F36" s="136">
        <v>490</v>
      </c>
      <c r="G36" s="136">
        <v>202</v>
      </c>
      <c r="H36" s="137" t="s">
        <v>274</v>
      </c>
    </row>
    <row r="37" spans="1:8" ht="16" thickBot="1" x14ac:dyDescent="0.25">
      <c r="A37" s="141" t="s">
        <v>202</v>
      </c>
      <c r="B37" s="142" t="s">
        <v>228</v>
      </c>
      <c r="C37" s="143">
        <v>99</v>
      </c>
      <c r="D37" s="144">
        <v>520</v>
      </c>
      <c r="E37" s="144">
        <v>440</v>
      </c>
      <c r="F37" s="144">
        <v>465</v>
      </c>
      <c r="G37" s="144">
        <v>186</v>
      </c>
      <c r="H37" s="145" t="s">
        <v>275</v>
      </c>
    </row>
    <row r="38" spans="1:8" x14ac:dyDescent="0.2">
      <c r="A38" s="110" t="s">
        <v>203</v>
      </c>
      <c r="B38" s="111" t="s">
        <v>226</v>
      </c>
      <c r="C38" s="138">
        <v>0.5</v>
      </c>
      <c r="D38" s="139">
        <v>66</v>
      </c>
      <c r="E38" s="139">
        <v>66</v>
      </c>
      <c r="F38" s="139">
        <v>66</v>
      </c>
      <c r="G38" s="139">
        <v>0</v>
      </c>
      <c r="H38" s="140" t="s">
        <v>276</v>
      </c>
    </row>
    <row r="39" spans="1:8" x14ac:dyDescent="0.2">
      <c r="A39" s="129" t="s">
        <v>203</v>
      </c>
      <c r="B39" s="93" t="s">
        <v>227</v>
      </c>
      <c r="C39" s="130">
        <v>1</v>
      </c>
      <c r="D39" s="131">
        <v>66</v>
      </c>
      <c r="E39" s="131">
        <v>66</v>
      </c>
      <c r="F39" s="131">
        <v>66</v>
      </c>
      <c r="G39" s="131">
        <v>0</v>
      </c>
      <c r="H39" s="132" t="s">
        <v>277</v>
      </c>
    </row>
    <row r="40" spans="1:8" ht="16" thickBot="1" x14ac:dyDescent="0.25">
      <c r="A40" s="129" t="s">
        <v>203</v>
      </c>
      <c r="B40" s="93" t="s">
        <v>228</v>
      </c>
      <c r="C40" s="130">
        <v>99</v>
      </c>
      <c r="D40" s="131">
        <v>66</v>
      </c>
      <c r="E40" s="131">
        <v>66</v>
      </c>
      <c r="F40" s="131">
        <v>66</v>
      </c>
      <c r="G40" s="131">
        <v>0</v>
      </c>
      <c r="H40" s="132" t="s">
        <v>278</v>
      </c>
    </row>
    <row r="41" spans="1:8" x14ac:dyDescent="0.2">
      <c r="A41" s="374" t="s">
        <v>1614</v>
      </c>
      <c r="B41" s="376" t="s">
        <v>226</v>
      </c>
      <c r="C41" s="377">
        <v>0.5</v>
      </c>
      <c r="D41" s="378">
        <v>367</v>
      </c>
      <c r="E41" s="378">
        <v>329</v>
      </c>
      <c r="F41" s="378">
        <v>408</v>
      </c>
      <c r="G41" s="378">
        <v>213</v>
      </c>
      <c r="H41" s="379" t="str">
        <f>A41&amp;"|"&amp;B41</f>
        <v>ZAPATERA EXTRAÍBLE|CHICO</v>
      </c>
    </row>
    <row r="42" spans="1:8" x14ac:dyDescent="0.2">
      <c r="A42" s="380" t="s">
        <v>1614</v>
      </c>
      <c r="B42" s="381" t="s">
        <v>227</v>
      </c>
      <c r="C42" s="382">
        <v>1</v>
      </c>
      <c r="D42" s="383">
        <v>344</v>
      </c>
      <c r="E42" s="383">
        <v>310</v>
      </c>
      <c r="F42" s="383">
        <v>384</v>
      </c>
      <c r="G42" s="383">
        <v>198</v>
      </c>
      <c r="H42" s="384" t="str">
        <f>A42&amp;"|"&amp;B42</f>
        <v>ZAPATERA EXTRAÍBLE|MEDIANO</v>
      </c>
    </row>
    <row r="43" spans="1:8" ht="16" thickBot="1" x14ac:dyDescent="0.25">
      <c r="A43" s="385" t="s">
        <v>1614</v>
      </c>
      <c r="B43" s="386" t="s">
        <v>228</v>
      </c>
      <c r="C43" s="387">
        <v>99</v>
      </c>
      <c r="D43" s="388">
        <v>317</v>
      </c>
      <c r="E43" s="388">
        <v>285</v>
      </c>
      <c r="F43" s="388">
        <v>354</v>
      </c>
      <c r="G43" s="388">
        <v>181</v>
      </c>
      <c r="H43" s="389" t="str">
        <f>A43&amp;"|"&amp;B43</f>
        <v>ZAPATERA EXTRAÍBLE|GRANDE</v>
      </c>
    </row>
    <row r="44" spans="1:8" x14ac:dyDescent="0.2">
      <c r="A44" s="373" t="s">
        <v>1622</v>
      </c>
      <c r="B44" s="375" t="s">
        <v>226</v>
      </c>
      <c r="C44" s="368">
        <v>0.5</v>
      </c>
      <c r="D44" s="369">
        <v>575</v>
      </c>
      <c r="E44" s="369">
        <v>435</v>
      </c>
      <c r="F44" s="369">
        <v>535</v>
      </c>
      <c r="G44" s="369">
        <v>300</v>
      </c>
      <c r="H44" s="370" t="str">
        <f>A44&amp;"|"&amp;B44</f>
        <v>PARAL DELGADO 2V|CHICO</v>
      </c>
    </row>
    <row r="45" spans="1:8" x14ac:dyDescent="0.2">
      <c r="A45" s="372" t="s">
        <v>1622</v>
      </c>
      <c r="B45" s="375" t="s">
        <v>227</v>
      </c>
      <c r="C45" s="368">
        <v>1</v>
      </c>
      <c r="D45" s="369">
        <v>540</v>
      </c>
      <c r="E45" s="369">
        <v>400</v>
      </c>
      <c r="F45" s="369">
        <v>500</v>
      </c>
      <c r="G45" s="369">
        <v>285</v>
      </c>
      <c r="H45" s="370" t="str">
        <f>A45&amp;"|"&amp;B45</f>
        <v>PARAL DELGADO 2V|MEDIANO</v>
      </c>
    </row>
    <row r="46" spans="1:8" x14ac:dyDescent="0.2">
      <c r="A46" s="372" t="s">
        <v>1622</v>
      </c>
      <c r="B46" s="375" t="s">
        <v>228</v>
      </c>
      <c r="C46" s="368">
        <v>99</v>
      </c>
      <c r="D46" s="369">
        <v>520</v>
      </c>
      <c r="E46" s="369">
        <v>385</v>
      </c>
      <c r="F46" s="369">
        <v>480</v>
      </c>
      <c r="G46" s="369">
        <v>265</v>
      </c>
      <c r="H46" s="370" t="str">
        <f>A46&amp;"|"&amp;B46</f>
        <v>PARAL DELGADO 2V|GRANDE</v>
      </c>
    </row>
    <row r="47" spans="1:8" x14ac:dyDescent="0.2">
      <c r="A47" s="373" t="s">
        <v>1623</v>
      </c>
      <c r="B47" s="375" t="s">
        <v>226</v>
      </c>
      <c r="C47" s="368">
        <v>0.5</v>
      </c>
      <c r="D47" s="369">
        <v>575</v>
      </c>
      <c r="E47" s="369">
        <v>435</v>
      </c>
      <c r="F47" s="369">
        <v>535</v>
      </c>
      <c r="G47" s="369">
        <v>300</v>
      </c>
      <c r="H47" s="370" t="str">
        <f>A47&amp;"|"&amp;B47</f>
        <v>ENTREPAÑO DELGADO|CHICO</v>
      </c>
    </row>
    <row r="48" spans="1:8" x14ac:dyDescent="0.2">
      <c r="A48" s="372" t="s">
        <v>1623</v>
      </c>
      <c r="B48" s="375" t="s">
        <v>227</v>
      </c>
      <c r="C48" s="368">
        <v>1</v>
      </c>
      <c r="D48" s="369">
        <v>540</v>
      </c>
      <c r="E48" s="369">
        <v>400</v>
      </c>
      <c r="F48" s="369">
        <v>500</v>
      </c>
      <c r="G48" s="369">
        <v>285</v>
      </c>
      <c r="H48" s="370" t="str">
        <f>A48&amp;"|"&amp;B48</f>
        <v>ENTREPAÑO DELGADO|MEDIANO</v>
      </c>
    </row>
    <row r="49" spans="1:8" x14ac:dyDescent="0.2">
      <c r="A49" s="372" t="s">
        <v>1623</v>
      </c>
      <c r="B49" s="375" t="s">
        <v>228</v>
      </c>
      <c r="C49" s="368">
        <v>99</v>
      </c>
      <c r="D49" s="369">
        <v>520</v>
      </c>
      <c r="E49" s="369">
        <v>385</v>
      </c>
      <c r="F49" s="369">
        <v>480</v>
      </c>
      <c r="G49" s="369">
        <v>265</v>
      </c>
      <c r="H49" s="370" t="str">
        <f>A49&amp;"|"&amp;B49</f>
        <v>ENTREPAÑO DELGADO|GRANDE</v>
      </c>
    </row>
    <row r="50" spans="1:8" x14ac:dyDescent="0.2">
      <c r="A50" s="373" t="s">
        <v>708</v>
      </c>
      <c r="B50" s="375" t="s">
        <v>226</v>
      </c>
      <c r="C50" s="368">
        <v>0.5</v>
      </c>
      <c r="D50" s="369">
        <v>520</v>
      </c>
      <c r="E50" s="369">
        <v>520</v>
      </c>
      <c r="F50" s="369">
        <v>520</v>
      </c>
      <c r="G50" s="369">
        <v>0</v>
      </c>
      <c r="H50" s="370" t="str">
        <f>A50&amp;"|"&amp;B50</f>
        <v>ESPEJO|CHICO</v>
      </c>
    </row>
    <row r="51" spans="1:8" x14ac:dyDescent="0.2">
      <c r="A51" s="372" t="s">
        <v>708</v>
      </c>
      <c r="B51" s="375" t="s">
        <v>227</v>
      </c>
      <c r="C51" s="368">
        <v>1</v>
      </c>
      <c r="D51" s="369">
        <v>480</v>
      </c>
      <c r="E51" s="369">
        <v>480</v>
      </c>
      <c r="F51" s="369">
        <v>480</v>
      </c>
      <c r="G51" s="369">
        <v>0</v>
      </c>
      <c r="H51" s="370" t="str">
        <f>A51&amp;"|"&amp;B51</f>
        <v>ESPEJO|MEDIANO</v>
      </c>
    </row>
    <row r="52" spans="1:8" x14ac:dyDescent="0.2">
      <c r="A52" s="372" t="s">
        <v>708</v>
      </c>
      <c r="B52" s="375" t="s">
        <v>228</v>
      </c>
      <c r="C52" s="368">
        <v>99</v>
      </c>
      <c r="D52" s="369">
        <v>470</v>
      </c>
      <c r="E52" s="369">
        <v>470</v>
      </c>
      <c r="F52" s="369">
        <v>470</v>
      </c>
      <c r="G52" s="369">
        <v>0</v>
      </c>
      <c r="H52" s="370" t="str">
        <f>A52&amp;"|"&amp;B52</f>
        <v>ESPEJO|GRANDE</v>
      </c>
    </row>
    <row r="53" spans="1:8" x14ac:dyDescent="0.2">
      <c r="A53" s="373" t="s">
        <v>1624</v>
      </c>
      <c r="B53" s="375" t="s">
        <v>226</v>
      </c>
      <c r="C53" s="368">
        <v>0.5</v>
      </c>
      <c r="D53" s="369">
        <v>2566</v>
      </c>
      <c r="E53" s="369">
        <v>3300</v>
      </c>
      <c r="F53" s="369">
        <v>4950</v>
      </c>
      <c r="G53" s="369">
        <v>200</v>
      </c>
      <c r="H53" s="370" t="str">
        <f>A53&amp;"|"&amp;B53</f>
        <v>MOLDURA SENCILLA|CHICO</v>
      </c>
    </row>
    <row r="54" spans="1:8" x14ac:dyDescent="0.2">
      <c r="A54" s="372" t="s">
        <v>1624</v>
      </c>
      <c r="B54" s="375" t="s">
        <v>227</v>
      </c>
      <c r="C54" s="368">
        <v>1</v>
      </c>
      <c r="D54" s="369">
        <v>2400</v>
      </c>
      <c r="E54" s="369">
        <v>3100</v>
      </c>
      <c r="F54" s="369">
        <v>4700</v>
      </c>
      <c r="G54" s="369">
        <v>190</v>
      </c>
      <c r="H54" s="370" t="str">
        <f>A54&amp;"|"&amp;B54</f>
        <v>MOLDURA SENCILLA|MEDIANO</v>
      </c>
    </row>
    <row r="55" spans="1:8" x14ac:dyDescent="0.2">
      <c r="A55" s="372" t="s">
        <v>1624</v>
      </c>
      <c r="B55" s="375" t="s">
        <v>228</v>
      </c>
      <c r="C55" s="368">
        <v>99</v>
      </c>
      <c r="D55" s="369">
        <v>2300</v>
      </c>
      <c r="E55" s="369">
        <v>2900</v>
      </c>
      <c r="F55" s="369">
        <v>4500</v>
      </c>
      <c r="G55" s="369">
        <v>180</v>
      </c>
      <c r="H55" s="370" t="str">
        <f>A55&amp;"|"&amp;B55</f>
        <v>MOLDURA SENCILLA|GRANDE</v>
      </c>
    </row>
    <row r="56" spans="1:8" x14ac:dyDescent="0.2">
      <c r="A56" s="373" t="s">
        <v>1625</v>
      </c>
      <c r="B56" s="375" t="s">
        <v>226</v>
      </c>
      <c r="C56" s="368">
        <v>0.5</v>
      </c>
      <c r="D56" s="369">
        <v>2566</v>
      </c>
      <c r="E56" s="369">
        <v>3300</v>
      </c>
      <c r="F56" s="369">
        <v>4950</v>
      </c>
      <c r="G56" s="369">
        <v>200</v>
      </c>
      <c r="H56" s="370" t="str">
        <f>A56&amp;"|"&amp;B56</f>
        <v>MOLDURA MEDIA|CHICO</v>
      </c>
    </row>
    <row r="57" spans="1:8" x14ac:dyDescent="0.2">
      <c r="A57" s="372" t="s">
        <v>1625</v>
      </c>
      <c r="B57" s="375" t="s">
        <v>227</v>
      </c>
      <c r="C57" s="368">
        <v>1</v>
      </c>
      <c r="D57" s="369">
        <v>2400</v>
      </c>
      <c r="E57" s="369">
        <v>3100</v>
      </c>
      <c r="F57" s="369">
        <v>4700</v>
      </c>
      <c r="G57" s="369">
        <v>190</v>
      </c>
      <c r="H57" s="370" t="str">
        <f>A57&amp;"|"&amp;B57</f>
        <v>MOLDURA MEDIA|MEDIANO</v>
      </c>
    </row>
    <row r="58" spans="1:8" x14ac:dyDescent="0.2">
      <c r="A58" s="372" t="s">
        <v>1625</v>
      </c>
      <c r="B58" s="375" t="s">
        <v>228</v>
      </c>
      <c r="C58" s="368">
        <v>99</v>
      </c>
      <c r="D58" s="369">
        <v>2300</v>
      </c>
      <c r="E58" s="369">
        <v>2900</v>
      </c>
      <c r="F58" s="369">
        <v>4500</v>
      </c>
      <c r="G58" s="369">
        <v>180</v>
      </c>
      <c r="H58" s="370" t="str">
        <f>A58&amp;"|"&amp;B58</f>
        <v>MOLDURA MEDIA|GRANDE</v>
      </c>
    </row>
    <row r="59" spans="1:8" x14ac:dyDescent="0.2">
      <c r="A59" s="373" t="s">
        <v>1626</v>
      </c>
      <c r="B59" s="375" t="s">
        <v>226</v>
      </c>
      <c r="C59" s="368">
        <v>0.5</v>
      </c>
      <c r="D59" s="369">
        <v>2566</v>
      </c>
      <c r="E59" s="369">
        <v>3300</v>
      </c>
      <c r="F59" s="369">
        <v>4950</v>
      </c>
      <c r="G59" s="369">
        <v>200</v>
      </c>
      <c r="H59" s="370" t="str">
        <f>A59&amp;"|"&amp;B59</f>
        <v>MOLDURA DIFÍCIL|CHICO</v>
      </c>
    </row>
    <row r="60" spans="1:8" x14ac:dyDescent="0.2">
      <c r="A60" s="372" t="s">
        <v>1626</v>
      </c>
      <c r="B60" s="375" t="s">
        <v>227</v>
      </c>
      <c r="C60" s="368">
        <v>1</v>
      </c>
      <c r="D60" s="369">
        <v>2400</v>
      </c>
      <c r="E60" s="369">
        <v>3100</v>
      </c>
      <c r="F60" s="369">
        <v>4700</v>
      </c>
      <c r="G60" s="369">
        <v>190</v>
      </c>
      <c r="H60" s="370" t="str">
        <f>A60&amp;"|"&amp;B60</f>
        <v>MOLDURA DIFÍCIL|MEDIANO</v>
      </c>
    </row>
    <row r="61" spans="1:8" x14ac:dyDescent="0.2">
      <c r="A61" s="372" t="s">
        <v>1626</v>
      </c>
      <c r="B61" s="375" t="s">
        <v>228</v>
      </c>
      <c r="C61" s="368">
        <v>99</v>
      </c>
      <c r="D61" s="369">
        <v>2300</v>
      </c>
      <c r="E61" s="369">
        <v>2900</v>
      </c>
      <c r="F61" s="369">
        <v>4500</v>
      </c>
      <c r="G61" s="369">
        <v>180</v>
      </c>
      <c r="H61" s="370" t="str">
        <f>A61&amp;"|"&amp;B61</f>
        <v>MOLDURA DIFÍCIL|GRANDE</v>
      </c>
    </row>
    <row r="62" spans="1:8" x14ac:dyDescent="0.2">
      <c r="A62" s="373" t="s">
        <v>1627</v>
      </c>
      <c r="B62" s="375" t="s">
        <v>226</v>
      </c>
      <c r="C62" s="368">
        <v>0.5</v>
      </c>
      <c r="D62" s="369">
        <v>7698</v>
      </c>
      <c r="E62" s="369">
        <v>9900</v>
      </c>
      <c r="F62" s="369">
        <v>14850</v>
      </c>
      <c r="G62" s="369">
        <v>250</v>
      </c>
      <c r="H62" s="370" t="str">
        <f>A62&amp;"|"&amp;B62</f>
        <v>MOLDURA GRUESA DIFÍCIL|CHICO</v>
      </c>
    </row>
    <row r="63" spans="1:8" x14ac:dyDescent="0.2">
      <c r="A63" s="372" t="s">
        <v>1627</v>
      </c>
      <c r="B63" s="375" t="s">
        <v>227</v>
      </c>
      <c r="C63" s="368">
        <v>1</v>
      </c>
      <c r="D63" s="369">
        <v>7200</v>
      </c>
      <c r="E63" s="369">
        <v>9300</v>
      </c>
      <c r="F63" s="369">
        <v>14000</v>
      </c>
      <c r="G63" s="369">
        <v>240</v>
      </c>
      <c r="H63" s="370" t="str">
        <f>A63&amp;"|"&amp;B63</f>
        <v>MOLDURA GRUESA DIFÍCIL|MEDIANO</v>
      </c>
    </row>
    <row r="64" spans="1:8" x14ac:dyDescent="0.2">
      <c r="A64" s="372" t="s">
        <v>1627</v>
      </c>
      <c r="B64" s="375" t="s">
        <v>228</v>
      </c>
      <c r="C64" s="368">
        <v>99</v>
      </c>
      <c r="D64" s="369">
        <v>6900</v>
      </c>
      <c r="E64" s="369">
        <v>8900</v>
      </c>
      <c r="F64" s="369">
        <v>13400</v>
      </c>
      <c r="G64" s="369">
        <v>230</v>
      </c>
      <c r="H64" s="370" t="str">
        <f>A64&amp;"|"&amp;B64</f>
        <v>MOLDURA GRUESA DIFÍCIL|GRANDE</v>
      </c>
    </row>
    <row r="65" spans="1:8" x14ac:dyDescent="0.2">
      <c r="A65" s="373" t="s">
        <v>1628</v>
      </c>
      <c r="B65" s="375" t="s">
        <v>226</v>
      </c>
      <c r="C65" s="368">
        <v>0.5</v>
      </c>
      <c r="D65" s="369">
        <v>210</v>
      </c>
      <c r="E65" s="369">
        <v>160</v>
      </c>
      <c r="F65" s="369">
        <v>175</v>
      </c>
      <c r="G65" s="369">
        <v>120</v>
      </c>
      <c r="H65" s="370" t="str">
        <f>A65&amp;"|"&amp;B65</f>
        <v>FONDO MADERA|CHICO</v>
      </c>
    </row>
    <row r="66" spans="1:8" x14ac:dyDescent="0.2">
      <c r="A66" s="372" t="s">
        <v>1628</v>
      </c>
      <c r="B66" s="375" t="s">
        <v>227</v>
      </c>
      <c r="C66" s="368">
        <v>1</v>
      </c>
      <c r="D66" s="369">
        <v>175</v>
      </c>
      <c r="E66" s="369">
        <v>135</v>
      </c>
      <c r="F66" s="369">
        <v>150</v>
      </c>
      <c r="G66" s="369">
        <v>110</v>
      </c>
      <c r="H66" s="370" t="str">
        <f>A66&amp;"|"&amp;B66</f>
        <v>FONDO MADERA|MEDIANO</v>
      </c>
    </row>
    <row r="67" spans="1:8" x14ac:dyDescent="0.2">
      <c r="A67" s="372" t="s">
        <v>1628</v>
      </c>
      <c r="B67" s="375" t="s">
        <v>228</v>
      </c>
      <c r="C67" s="368">
        <v>99</v>
      </c>
      <c r="D67" s="369">
        <v>160</v>
      </c>
      <c r="E67" s="369">
        <v>120</v>
      </c>
      <c r="F67" s="369">
        <v>135</v>
      </c>
      <c r="G67" s="369">
        <v>100</v>
      </c>
      <c r="H67" s="370" t="str">
        <f>A67&amp;"|"&amp;B67</f>
        <v>FONDO MADERA|GRANDE</v>
      </c>
    </row>
    <row r="69" spans="1:8" x14ac:dyDescent="0.2">
      <c r="A69" s="64" t="s">
        <v>279</v>
      </c>
      <c r="B69" s="150" t="s">
        <v>181</v>
      </c>
      <c r="C69" s="60" t="s">
        <v>182</v>
      </c>
    </row>
    <row r="70" spans="1:8" x14ac:dyDescent="0.2">
      <c r="A70" s="59" t="s">
        <v>183</v>
      </c>
      <c r="B70" s="65">
        <v>1.3</v>
      </c>
      <c r="C70" s="58" t="s">
        <v>184</v>
      </c>
    </row>
    <row r="71" spans="1:8" x14ac:dyDescent="0.2">
      <c r="A71" s="62" t="s">
        <v>185</v>
      </c>
      <c r="B71" s="66">
        <v>1.3</v>
      </c>
      <c r="C71" s="63" t="s">
        <v>1603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D605F-1207-6A42-B2C9-3D037ED4F1A0}">
  <dimension ref="A1:Q74"/>
  <sheetViews>
    <sheetView workbookViewId="0">
      <selection activeCell="F10" sqref="F10"/>
    </sheetView>
  </sheetViews>
  <sheetFormatPr baseColWidth="10" defaultRowHeight="15" x14ac:dyDescent="0.2"/>
  <cols>
    <col min="1" max="1" width="21.6640625" customWidth="1"/>
    <col min="2" max="3" width="11.6640625" customWidth="1"/>
    <col min="4" max="15" width="10.83203125" customWidth="1"/>
    <col min="16" max="16" width="14.1640625" customWidth="1"/>
    <col min="17" max="17" width="0.83203125" customWidth="1"/>
  </cols>
  <sheetData>
    <row r="1" spans="1:17" ht="18" x14ac:dyDescent="0.2">
      <c r="A1" s="57" t="s">
        <v>236</v>
      </c>
    </row>
    <row r="2" spans="1:17" x14ac:dyDescent="0.2">
      <c r="A2" s="39" t="s">
        <v>214</v>
      </c>
    </row>
    <row r="4" spans="1:17" x14ac:dyDescent="0.2">
      <c r="A4" s="64" t="s">
        <v>215</v>
      </c>
    </row>
    <row r="5" spans="1:17" x14ac:dyDescent="0.2">
      <c r="A5" s="89" t="s">
        <v>220</v>
      </c>
      <c r="B5" s="89" t="s">
        <v>216</v>
      </c>
      <c r="C5" s="89" t="s">
        <v>230</v>
      </c>
      <c r="D5" s="89" t="s">
        <v>187</v>
      </c>
      <c r="E5" s="89" t="s">
        <v>188</v>
      </c>
      <c r="F5" s="89" t="s">
        <v>189</v>
      </c>
      <c r="G5" s="89" t="s">
        <v>190</v>
      </c>
      <c r="H5" s="89" t="s">
        <v>231</v>
      </c>
      <c r="I5" s="89" t="s">
        <v>191</v>
      </c>
      <c r="J5" s="89" t="s">
        <v>232</v>
      </c>
      <c r="K5" s="89" t="s">
        <v>233</v>
      </c>
      <c r="L5" s="89" t="s">
        <v>234</v>
      </c>
    </row>
    <row r="6" spans="1:17" x14ac:dyDescent="0.2">
      <c r="A6" s="88">
        <v>134.69999999999999</v>
      </c>
      <c r="B6" s="88">
        <v>4.45</v>
      </c>
      <c r="C6" s="88">
        <v>134.69999999999999</v>
      </c>
      <c r="D6" s="88">
        <v>135.75</v>
      </c>
      <c r="E6" s="88">
        <v>127.65</v>
      </c>
      <c r="F6" s="88">
        <v>136.88999999999999</v>
      </c>
      <c r="G6" s="88">
        <v>136.88999999999999</v>
      </c>
      <c r="H6" s="88">
        <v>127.65</v>
      </c>
      <c r="I6" s="88">
        <v>136.88999999999999</v>
      </c>
      <c r="J6" s="88">
        <v>136.88999999999999</v>
      </c>
      <c r="K6" s="88">
        <v>134.69999999999999</v>
      </c>
      <c r="L6" s="88">
        <v>136.88999999999999</v>
      </c>
    </row>
    <row r="8" spans="1:17" x14ac:dyDescent="0.2">
      <c r="A8" s="64" t="s">
        <v>217</v>
      </c>
    </row>
    <row r="9" spans="1:17" x14ac:dyDescent="0.2">
      <c r="A9" s="67" t="s">
        <v>186</v>
      </c>
      <c r="B9" s="67" t="s">
        <v>218</v>
      </c>
      <c r="C9" s="67" t="s">
        <v>219</v>
      </c>
      <c r="D9" s="90" t="s">
        <v>220</v>
      </c>
      <c r="E9" s="90" t="s">
        <v>216</v>
      </c>
      <c r="F9" s="90" t="s">
        <v>235</v>
      </c>
      <c r="G9" s="90" t="s">
        <v>187</v>
      </c>
      <c r="H9" s="90" t="s">
        <v>188</v>
      </c>
      <c r="I9" s="90" t="s">
        <v>221</v>
      </c>
      <c r="J9" s="90" t="s">
        <v>190</v>
      </c>
      <c r="K9" s="90" t="s">
        <v>222</v>
      </c>
      <c r="L9" s="90" t="s">
        <v>223</v>
      </c>
      <c r="M9" s="90" t="s">
        <v>145</v>
      </c>
      <c r="N9" s="90" t="s">
        <v>224</v>
      </c>
      <c r="O9" s="90" t="s">
        <v>225</v>
      </c>
      <c r="P9" s="68" t="s">
        <v>27</v>
      </c>
      <c r="Q9" s="67" t="s">
        <v>132</v>
      </c>
    </row>
    <row r="10" spans="1:17" x14ac:dyDescent="0.2">
      <c r="A10" s="100" t="s">
        <v>192</v>
      </c>
      <c r="B10" s="101" t="s">
        <v>226</v>
      </c>
      <c r="C10" s="102">
        <v>0.5</v>
      </c>
      <c r="D10" s="103">
        <v>0.2</v>
      </c>
      <c r="E10" s="103">
        <v>0</v>
      </c>
      <c r="F10" s="103">
        <v>0.3</v>
      </c>
      <c r="G10" s="103">
        <v>0.16600000000000001</v>
      </c>
      <c r="H10" s="103">
        <v>0.104</v>
      </c>
      <c r="I10" s="103">
        <v>0.104</v>
      </c>
      <c r="J10" s="103">
        <v>0.104</v>
      </c>
      <c r="K10" s="103">
        <v>0.1048</v>
      </c>
      <c r="L10" s="103">
        <v>0.104</v>
      </c>
      <c r="M10" s="103">
        <v>0.4</v>
      </c>
      <c r="N10" s="103">
        <v>1.5</v>
      </c>
      <c r="O10" s="104">
        <v>0.25</v>
      </c>
      <c r="P10" s="95">
        <f>D10*$A$6+E10*$B$6+F10*$C$6+G10*$D$6+H10*$E$6+I10*$F$6+J10*$G$6+K10*$H$6+L10*$I$6+M10*$J$6+N10*$K$6+O10*$L$6</f>
        <v>450.27599999999995</v>
      </c>
      <c r="Q10" t="str">
        <f>A10&amp;"|"&amp;B10</f>
        <v>PARAL 1 VISTA|CHICO</v>
      </c>
    </row>
    <row r="11" spans="1:17" x14ac:dyDescent="0.2">
      <c r="A11" s="105" t="s">
        <v>192</v>
      </c>
      <c r="B11" s="106" t="s">
        <v>227</v>
      </c>
      <c r="C11" s="107">
        <v>1</v>
      </c>
      <c r="D11" s="108">
        <v>0.2</v>
      </c>
      <c r="E11" s="108">
        <v>0</v>
      </c>
      <c r="F11" s="108">
        <v>0.4</v>
      </c>
      <c r="G11" s="108">
        <v>0.16600000000000001</v>
      </c>
      <c r="H11" s="108">
        <v>0.17599999999999999</v>
      </c>
      <c r="I11" s="108">
        <v>0.17599999999999999</v>
      </c>
      <c r="J11" s="108">
        <v>0.17599999999999999</v>
      </c>
      <c r="K11" s="108">
        <v>0.1772</v>
      </c>
      <c r="L11" s="108">
        <v>0.17599999999999999</v>
      </c>
      <c r="M11" s="108">
        <v>0.4</v>
      </c>
      <c r="N11" s="108">
        <v>1.5</v>
      </c>
      <c r="O11" s="109">
        <v>0.25</v>
      </c>
      <c r="P11" s="95">
        <f t="shared" ref="P11:P45" si="0">D11*$A$6+E11*$B$6+F11*$C$6+G11*$D$6+H11*$E$6+I11*$F$6+J11*$G$6+K11*$H$6+L11*$I$6+M11*$J$6+N11*$K$6+O11*$L$6</f>
        <v>511.74689999999987</v>
      </c>
      <c r="Q11" t="str">
        <f t="shared" ref="Q11:Q45" si="1">A11&amp;"|"&amp;B11</f>
        <v>PARAL 1 VISTA|MEDIANO</v>
      </c>
    </row>
    <row r="12" spans="1:17" ht="16" thickBot="1" x14ac:dyDescent="0.25">
      <c r="A12" s="115" t="s">
        <v>192</v>
      </c>
      <c r="B12" s="116" t="s">
        <v>228</v>
      </c>
      <c r="C12" s="117">
        <v>99</v>
      </c>
      <c r="D12" s="118">
        <v>0.2</v>
      </c>
      <c r="E12" s="118">
        <v>0</v>
      </c>
      <c r="F12" s="118">
        <v>0.46700000000000003</v>
      </c>
      <c r="G12" s="118">
        <v>0.16600000000000001</v>
      </c>
      <c r="H12" s="118">
        <v>0.28799999999999998</v>
      </c>
      <c r="I12" s="118">
        <v>0.28799999999999998</v>
      </c>
      <c r="J12" s="118">
        <v>0.28799999999999998</v>
      </c>
      <c r="K12" s="118">
        <v>0.22550000000000001</v>
      </c>
      <c r="L12" s="118">
        <v>0.28799999999999998</v>
      </c>
      <c r="M12" s="118">
        <v>0.4</v>
      </c>
      <c r="N12" s="118">
        <v>1.5</v>
      </c>
      <c r="O12" s="119">
        <v>0.25</v>
      </c>
      <c r="P12" s="95">
        <f t="shared" si="0"/>
        <v>587.22913499999993</v>
      </c>
      <c r="Q12" t="str">
        <f t="shared" si="1"/>
        <v>PARAL 1 VISTA|GRANDE</v>
      </c>
    </row>
    <row r="13" spans="1:17" x14ac:dyDescent="0.2">
      <c r="A13" s="110" t="s">
        <v>193</v>
      </c>
      <c r="B13" s="111" t="s">
        <v>226</v>
      </c>
      <c r="C13" s="112">
        <v>0.5</v>
      </c>
      <c r="D13" s="113">
        <v>0.2</v>
      </c>
      <c r="E13" s="113">
        <v>0</v>
      </c>
      <c r="F13" s="113">
        <v>0.5</v>
      </c>
      <c r="G13" s="113">
        <v>0.16600000000000001</v>
      </c>
      <c r="H13" s="113">
        <v>0.20100000000000001</v>
      </c>
      <c r="I13" s="113">
        <v>0.20100000000000001</v>
      </c>
      <c r="J13" s="113">
        <v>0.20100000000000001</v>
      </c>
      <c r="K13" s="113">
        <v>0.2014</v>
      </c>
      <c r="L13" s="113">
        <v>0.20100000000000001</v>
      </c>
      <c r="M13" s="113">
        <v>0.5</v>
      </c>
      <c r="N13" s="113">
        <v>1</v>
      </c>
      <c r="O13" s="114">
        <v>0.25</v>
      </c>
      <c r="P13" s="95">
        <f t="shared" si="0"/>
        <v>488.10302999999999</v>
      </c>
      <c r="Q13" t="str">
        <f t="shared" si="1"/>
        <v>PARAL 2 VISTAS|CHICO</v>
      </c>
    </row>
    <row r="14" spans="1:17" x14ac:dyDescent="0.2">
      <c r="A14" s="96" t="s">
        <v>193</v>
      </c>
      <c r="B14" s="93" t="s">
        <v>227</v>
      </c>
      <c r="C14" s="94">
        <v>1</v>
      </c>
      <c r="D14" s="98">
        <v>0.2</v>
      </c>
      <c r="E14" s="98">
        <v>0</v>
      </c>
      <c r="F14" s="98">
        <v>0.625</v>
      </c>
      <c r="G14" s="98">
        <v>0.16600000000000001</v>
      </c>
      <c r="H14" s="98">
        <v>0.35599999999999998</v>
      </c>
      <c r="I14" s="98">
        <v>0.35599999999999998</v>
      </c>
      <c r="J14" s="98">
        <v>0.35599999999999998</v>
      </c>
      <c r="K14" s="98">
        <v>0.35580000000000001</v>
      </c>
      <c r="L14" s="98">
        <v>0.35599999999999998</v>
      </c>
      <c r="M14" s="98">
        <v>0.5</v>
      </c>
      <c r="N14" s="98">
        <v>1</v>
      </c>
      <c r="O14" s="99">
        <v>0.25</v>
      </c>
      <c r="P14" s="95">
        <f t="shared" si="0"/>
        <v>608.08929000000001</v>
      </c>
      <c r="Q14" t="str">
        <f t="shared" si="1"/>
        <v>PARAL 2 VISTAS|MEDIANO</v>
      </c>
    </row>
    <row r="15" spans="1:17" ht="16" thickBot="1" x14ac:dyDescent="0.25">
      <c r="A15" s="120" t="s">
        <v>193</v>
      </c>
      <c r="B15" s="121" t="s">
        <v>228</v>
      </c>
      <c r="C15" s="122">
        <v>99</v>
      </c>
      <c r="D15" s="123">
        <v>0.2</v>
      </c>
      <c r="E15" s="123">
        <v>0</v>
      </c>
      <c r="F15" s="123">
        <v>0.70799999999999996</v>
      </c>
      <c r="G15" s="123">
        <v>0.16600000000000001</v>
      </c>
      <c r="H15" s="123">
        <v>0.55400000000000005</v>
      </c>
      <c r="I15" s="123">
        <v>0.55400000000000005</v>
      </c>
      <c r="J15" s="123">
        <v>0.55400000000000005</v>
      </c>
      <c r="K15" s="123">
        <v>0.55400000000000005</v>
      </c>
      <c r="L15" s="123">
        <v>0.55400000000000005</v>
      </c>
      <c r="M15" s="123">
        <v>0.5</v>
      </c>
      <c r="N15" s="123">
        <v>1</v>
      </c>
      <c r="O15" s="124">
        <v>0.25</v>
      </c>
      <c r="P15" s="95">
        <f t="shared" si="0"/>
        <v>751.15698000000009</v>
      </c>
      <c r="Q15" t="str">
        <f t="shared" si="1"/>
        <v>PARAL 2 VISTAS|GRANDE</v>
      </c>
    </row>
    <row r="16" spans="1:17" x14ac:dyDescent="0.2">
      <c r="A16" s="100" t="s">
        <v>194</v>
      </c>
      <c r="B16" s="101" t="s">
        <v>226</v>
      </c>
      <c r="C16" s="102">
        <v>0.5</v>
      </c>
      <c r="D16" s="103">
        <v>0.2</v>
      </c>
      <c r="E16" s="103">
        <v>0</v>
      </c>
      <c r="F16" s="103">
        <v>0.5</v>
      </c>
      <c r="G16" s="103">
        <v>0.16600000000000001</v>
      </c>
      <c r="H16" s="103">
        <v>6.9000000000000006E-2</v>
      </c>
      <c r="I16" s="103">
        <v>6.9000000000000006E-2</v>
      </c>
      <c r="J16" s="103">
        <v>6.9000000000000006E-2</v>
      </c>
      <c r="K16" s="103">
        <v>6.9000000000000006E-2</v>
      </c>
      <c r="L16" s="103">
        <v>6.9000000000000006E-2</v>
      </c>
      <c r="M16" s="103">
        <v>0.25</v>
      </c>
      <c r="N16" s="103">
        <v>1</v>
      </c>
      <c r="O16" s="104">
        <v>0.2</v>
      </c>
      <c r="P16" s="95">
        <f t="shared" si="0"/>
        <v>359.07693</v>
      </c>
      <c r="Q16" t="str">
        <f t="shared" si="1"/>
        <v>PISO|CHICO</v>
      </c>
    </row>
    <row r="17" spans="1:17" x14ac:dyDescent="0.2">
      <c r="A17" s="105" t="s">
        <v>194</v>
      </c>
      <c r="B17" s="106" t="s">
        <v>227</v>
      </c>
      <c r="C17" s="107">
        <v>1</v>
      </c>
      <c r="D17" s="108">
        <v>0.2</v>
      </c>
      <c r="E17" s="108">
        <v>0</v>
      </c>
      <c r="F17" s="108">
        <v>0.53300000000000003</v>
      </c>
      <c r="G17" s="108">
        <v>0.17100000000000001</v>
      </c>
      <c r="H17" s="108">
        <v>0.14699999999999999</v>
      </c>
      <c r="I17" s="108">
        <v>0.14699999999999999</v>
      </c>
      <c r="J17" s="108">
        <v>0.14699999999999999</v>
      </c>
      <c r="K17" s="108">
        <v>0.1457</v>
      </c>
      <c r="L17" s="108">
        <v>0.14699999999999999</v>
      </c>
      <c r="M17" s="108">
        <v>0.33</v>
      </c>
      <c r="N17" s="108">
        <v>1</v>
      </c>
      <c r="O17" s="109">
        <v>0.2</v>
      </c>
      <c r="P17" s="95">
        <f t="shared" si="0"/>
        <v>426.93169499999993</v>
      </c>
      <c r="Q17" t="str">
        <f t="shared" si="1"/>
        <v>PISO|MEDIANO</v>
      </c>
    </row>
    <row r="18" spans="1:17" ht="16" thickBot="1" x14ac:dyDescent="0.25">
      <c r="A18" s="115" t="s">
        <v>194</v>
      </c>
      <c r="B18" s="116" t="s">
        <v>228</v>
      </c>
      <c r="C18" s="117">
        <v>99</v>
      </c>
      <c r="D18" s="118">
        <v>0.3</v>
      </c>
      <c r="E18" s="118">
        <v>0</v>
      </c>
      <c r="F18" s="118">
        <v>0.7</v>
      </c>
      <c r="G18" s="118">
        <v>0.2</v>
      </c>
      <c r="H18" s="118">
        <v>0.27</v>
      </c>
      <c r="I18" s="118">
        <v>0.27</v>
      </c>
      <c r="J18" s="118">
        <v>0.27</v>
      </c>
      <c r="K18" s="118">
        <v>0.26979999999999998</v>
      </c>
      <c r="L18" s="118">
        <v>0.27</v>
      </c>
      <c r="M18" s="118">
        <v>0.4</v>
      </c>
      <c r="N18" s="118">
        <v>1</v>
      </c>
      <c r="O18" s="119">
        <v>0.2</v>
      </c>
      <c r="P18" s="95">
        <f t="shared" si="0"/>
        <v>558.47037000000012</v>
      </c>
      <c r="Q18" t="str">
        <f t="shared" si="1"/>
        <v>PISO|GRANDE</v>
      </c>
    </row>
    <row r="19" spans="1:17" x14ac:dyDescent="0.2">
      <c r="A19" s="110" t="s">
        <v>195</v>
      </c>
      <c r="B19" s="111" t="s">
        <v>226</v>
      </c>
      <c r="C19" s="112">
        <v>0.5</v>
      </c>
      <c r="D19" s="113">
        <v>0.22</v>
      </c>
      <c r="E19" s="113">
        <v>0</v>
      </c>
      <c r="F19" s="113">
        <v>0.55000000000000004</v>
      </c>
      <c r="G19" s="113">
        <v>0.183</v>
      </c>
      <c r="H19" s="113">
        <v>7.5999999999999998E-2</v>
      </c>
      <c r="I19" s="113">
        <v>7.5999999999999998E-2</v>
      </c>
      <c r="J19" s="113">
        <v>7.5999999999999998E-2</v>
      </c>
      <c r="K19" s="113">
        <v>7.5999999999999998E-2</v>
      </c>
      <c r="L19" s="113">
        <v>7.5999999999999998E-2</v>
      </c>
      <c r="M19" s="113">
        <v>0.28000000000000003</v>
      </c>
      <c r="N19" s="113">
        <v>1.1000000000000001</v>
      </c>
      <c r="O19" s="114">
        <v>0.22</v>
      </c>
      <c r="P19" s="95">
        <f t="shared" si="0"/>
        <v>395.78996999999998</v>
      </c>
      <c r="Q19" t="str">
        <f t="shared" si="1"/>
        <v>PISO CON ZOCLO|CHICO</v>
      </c>
    </row>
    <row r="20" spans="1:17" x14ac:dyDescent="0.2">
      <c r="A20" s="96" t="s">
        <v>195</v>
      </c>
      <c r="B20" s="93" t="s">
        <v>227</v>
      </c>
      <c r="C20" s="94">
        <v>1</v>
      </c>
      <c r="D20" s="98">
        <v>0.22</v>
      </c>
      <c r="E20" s="98">
        <v>0</v>
      </c>
      <c r="F20" s="98">
        <v>0.58599999999999997</v>
      </c>
      <c r="G20" s="98">
        <v>0.188</v>
      </c>
      <c r="H20" s="98">
        <v>0.16200000000000001</v>
      </c>
      <c r="I20" s="98">
        <v>0.16200000000000001</v>
      </c>
      <c r="J20" s="98">
        <v>0.16200000000000001</v>
      </c>
      <c r="K20" s="98">
        <v>0.16</v>
      </c>
      <c r="L20" s="98">
        <v>0.16200000000000001</v>
      </c>
      <c r="M20" s="98">
        <v>0.36</v>
      </c>
      <c r="N20" s="98">
        <v>1.1000000000000001</v>
      </c>
      <c r="O20" s="99">
        <v>0.22</v>
      </c>
      <c r="P20" s="95">
        <f t="shared" si="0"/>
        <v>469.28723999999994</v>
      </c>
      <c r="Q20" t="str">
        <f t="shared" si="1"/>
        <v>PISO CON ZOCLO|MEDIANO</v>
      </c>
    </row>
    <row r="21" spans="1:17" ht="16" thickBot="1" x14ac:dyDescent="0.25">
      <c r="A21" s="120" t="s">
        <v>195</v>
      </c>
      <c r="B21" s="121" t="s">
        <v>228</v>
      </c>
      <c r="C21" s="122">
        <v>99</v>
      </c>
      <c r="D21" s="123">
        <v>0.33</v>
      </c>
      <c r="E21" s="123">
        <v>0</v>
      </c>
      <c r="F21" s="123">
        <v>0.77</v>
      </c>
      <c r="G21" s="123">
        <v>0.22</v>
      </c>
      <c r="H21" s="123">
        <v>0.29699999999999999</v>
      </c>
      <c r="I21" s="123">
        <v>0.29699999999999999</v>
      </c>
      <c r="J21" s="123">
        <v>0.29699999999999999</v>
      </c>
      <c r="K21" s="123">
        <v>0.29699999999999999</v>
      </c>
      <c r="L21" s="123">
        <v>0.29699999999999999</v>
      </c>
      <c r="M21" s="123">
        <v>0.44</v>
      </c>
      <c r="N21" s="123">
        <v>1.1000000000000001</v>
      </c>
      <c r="O21" s="124">
        <v>0.22</v>
      </c>
      <c r="P21" s="95">
        <f t="shared" si="0"/>
        <v>614.34549000000015</v>
      </c>
      <c r="Q21" t="str">
        <f t="shared" si="1"/>
        <v>PISO CON ZOCLO|GRANDE</v>
      </c>
    </row>
    <row r="22" spans="1:17" x14ac:dyDescent="0.2">
      <c r="A22" s="100" t="s">
        <v>196</v>
      </c>
      <c r="B22" s="101" t="s">
        <v>226</v>
      </c>
      <c r="C22" s="102">
        <v>0.5</v>
      </c>
      <c r="D22" s="103">
        <v>0.2</v>
      </c>
      <c r="E22" s="103">
        <v>0</v>
      </c>
      <c r="F22" s="103">
        <v>0.5</v>
      </c>
      <c r="G22" s="103">
        <v>0.16600000000000001</v>
      </c>
      <c r="H22" s="103">
        <v>0.13800000000000001</v>
      </c>
      <c r="I22" s="103">
        <v>0.13800000000000001</v>
      </c>
      <c r="J22" s="103">
        <v>0.13800000000000001</v>
      </c>
      <c r="K22" s="103">
        <v>0.13739999999999999</v>
      </c>
      <c r="L22" s="103">
        <v>0.13800000000000001</v>
      </c>
      <c r="M22" s="103">
        <v>0.25</v>
      </c>
      <c r="N22" s="103">
        <v>1</v>
      </c>
      <c r="O22" s="104">
        <v>0.2</v>
      </c>
      <c r="P22" s="95">
        <f t="shared" si="0"/>
        <v>404.95226999999994</v>
      </c>
      <c r="Q22" t="str">
        <f t="shared" si="1"/>
        <v>CIELO|CHICO</v>
      </c>
    </row>
    <row r="23" spans="1:17" x14ac:dyDescent="0.2">
      <c r="A23" s="105" t="s">
        <v>196</v>
      </c>
      <c r="B23" s="106" t="s">
        <v>227</v>
      </c>
      <c r="C23" s="107">
        <v>1</v>
      </c>
      <c r="D23" s="108">
        <v>0.2</v>
      </c>
      <c r="E23" s="108">
        <v>0</v>
      </c>
      <c r="F23" s="108">
        <v>0.53300000000000003</v>
      </c>
      <c r="G23" s="108">
        <v>0.16600000000000001</v>
      </c>
      <c r="H23" s="108">
        <v>0.28699999999999998</v>
      </c>
      <c r="I23" s="108">
        <v>0.28699999999999998</v>
      </c>
      <c r="J23" s="108">
        <v>0.28699999999999998</v>
      </c>
      <c r="K23" s="108">
        <v>0.29010000000000002</v>
      </c>
      <c r="L23" s="108">
        <v>0.28699999999999998</v>
      </c>
      <c r="M23" s="108">
        <v>0.33</v>
      </c>
      <c r="N23" s="108">
        <v>1</v>
      </c>
      <c r="O23" s="109">
        <v>0.2</v>
      </c>
      <c r="P23" s="95">
        <f t="shared" si="0"/>
        <v>520.05040499999996</v>
      </c>
      <c r="Q23" t="str">
        <f t="shared" si="1"/>
        <v>CIELO|MEDIANO</v>
      </c>
    </row>
    <row r="24" spans="1:17" ht="16" thickBot="1" x14ac:dyDescent="0.25">
      <c r="A24" s="115" t="s">
        <v>196</v>
      </c>
      <c r="B24" s="116" t="s">
        <v>228</v>
      </c>
      <c r="C24" s="117">
        <v>99</v>
      </c>
      <c r="D24" s="118">
        <v>0.3</v>
      </c>
      <c r="E24" s="118">
        <v>0</v>
      </c>
      <c r="F24" s="118">
        <v>0.7</v>
      </c>
      <c r="G24" s="118">
        <v>0.32</v>
      </c>
      <c r="H24" s="118">
        <v>0.53200000000000003</v>
      </c>
      <c r="I24" s="118">
        <v>0.53200000000000003</v>
      </c>
      <c r="J24" s="118">
        <v>0.53200000000000003</v>
      </c>
      <c r="K24" s="118">
        <v>0.53200000000000003</v>
      </c>
      <c r="L24" s="118">
        <v>0.53200000000000003</v>
      </c>
      <c r="M24" s="118">
        <v>0.5</v>
      </c>
      <c r="N24" s="118">
        <v>1</v>
      </c>
      <c r="O24" s="119">
        <v>0.2</v>
      </c>
      <c r="P24" s="95">
        <f t="shared" si="0"/>
        <v>762.95904000000007</v>
      </c>
      <c r="Q24" t="str">
        <f t="shared" si="1"/>
        <v>CIELO|GRANDE</v>
      </c>
    </row>
    <row r="25" spans="1:17" x14ac:dyDescent="0.2">
      <c r="A25" s="110" t="s">
        <v>197</v>
      </c>
      <c r="B25" s="111" t="s">
        <v>226</v>
      </c>
      <c r="C25" s="112">
        <v>0.5</v>
      </c>
      <c r="D25" s="113">
        <v>0.15</v>
      </c>
      <c r="E25" s="113">
        <v>0</v>
      </c>
      <c r="F25" s="113">
        <v>0.41499999999999998</v>
      </c>
      <c r="G25" s="113">
        <v>0.16600000000000001</v>
      </c>
      <c r="H25" s="113">
        <v>9.7000000000000003E-2</v>
      </c>
      <c r="I25" s="113">
        <v>9.7000000000000003E-2</v>
      </c>
      <c r="J25" s="113">
        <v>9.7000000000000003E-2</v>
      </c>
      <c r="K25" s="113">
        <v>9.74E-2</v>
      </c>
      <c r="L25" s="113">
        <v>9.7000000000000003E-2</v>
      </c>
      <c r="M25" s="113">
        <v>0.2</v>
      </c>
      <c r="N25" s="113">
        <v>0.5</v>
      </c>
      <c r="O25" s="114">
        <v>0.25</v>
      </c>
      <c r="P25" s="95">
        <f t="shared" si="0"/>
        <v>292.24064999999996</v>
      </c>
      <c r="Q25" t="str">
        <f t="shared" si="1"/>
        <v>ENTREPAÑO|CHICO</v>
      </c>
    </row>
    <row r="26" spans="1:17" x14ac:dyDescent="0.2">
      <c r="A26" s="96" t="s">
        <v>197</v>
      </c>
      <c r="B26" s="93" t="s">
        <v>227</v>
      </c>
      <c r="C26" s="94">
        <v>1</v>
      </c>
      <c r="D26" s="98">
        <v>0.183</v>
      </c>
      <c r="E26" s="98">
        <v>0</v>
      </c>
      <c r="F26" s="98">
        <v>0.5</v>
      </c>
      <c r="G26" s="98">
        <v>0.16600000000000001</v>
      </c>
      <c r="H26" s="98">
        <v>0.29199999999999998</v>
      </c>
      <c r="I26" s="98">
        <v>0.29199999999999998</v>
      </c>
      <c r="J26" s="98">
        <v>0.29199999999999998</v>
      </c>
      <c r="K26" s="98">
        <v>0.27039999999999997</v>
      </c>
      <c r="L26" s="98">
        <v>0.29199999999999998</v>
      </c>
      <c r="M26" s="98">
        <v>0.2</v>
      </c>
      <c r="N26" s="98">
        <v>0.5</v>
      </c>
      <c r="O26" s="99">
        <v>0.25</v>
      </c>
      <c r="P26" s="95">
        <f t="shared" si="0"/>
        <v>435.19109999999989</v>
      </c>
      <c r="Q26" t="str">
        <f t="shared" si="1"/>
        <v>ENTREPAÑO|MEDIANO</v>
      </c>
    </row>
    <row r="27" spans="1:17" ht="16" thickBot="1" x14ac:dyDescent="0.25">
      <c r="A27" s="120" t="s">
        <v>197</v>
      </c>
      <c r="B27" s="121" t="s">
        <v>228</v>
      </c>
      <c r="C27" s="122">
        <v>99</v>
      </c>
      <c r="D27" s="123">
        <v>0.3</v>
      </c>
      <c r="E27" s="123">
        <v>0</v>
      </c>
      <c r="F27" s="123">
        <v>0.7</v>
      </c>
      <c r="G27" s="123">
        <v>0.32</v>
      </c>
      <c r="H27" s="123">
        <v>0.51100000000000001</v>
      </c>
      <c r="I27" s="123">
        <v>0.51100000000000001</v>
      </c>
      <c r="J27" s="123">
        <v>0.51100000000000001</v>
      </c>
      <c r="K27" s="123">
        <v>0.5111</v>
      </c>
      <c r="L27" s="123">
        <v>0.51100000000000001</v>
      </c>
      <c r="M27" s="123">
        <v>0.5</v>
      </c>
      <c r="N27" s="123">
        <v>0.5</v>
      </c>
      <c r="O27" s="124">
        <v>0.25</v>
      </c>
      <c r="P27" s="95">
        <f t="shared" si="0"/>
        <v>688.48093500000004</v>
      </c>
      <c r="Q27" t="str">
        <f t="shared" si="1"/>
        <v>ENTREPAÑO|GRANDE</v>
      </c>
    </row>
    <row r="28" spans="1:17" x14ac:dyDescent="0.2">
      <c r="A28" s="100" t="s">
        <v>198</v>
      </c>
      <c r="B28" s="101" t="s">
        <v>226</v>
      </c>
      <c r="C28" s="102">
        <v>0.5</v>
      </c>
      <c r="D28" s="103">
        <v>0.15</v>
      </c>
      <c r="E28" s="103">
        <v>0</v>
      </c>
      <c r="F28" s="103">
        <v>0.52400000000000002</v>
      </c>
      <c r="G28" s="103">
        <v>0.16600000000000001</v>
      </c>
      <c r="H28" s="103">
        <v>0.11</v>
      </c>
      <c r="I28" s="103">
        <v>0.11</v>
      </c>
      <c r="J28" s="103">
        <v>0.11</v>
      </c>
      <c r="K28" s="103">
        <v>0.1056</v>
      </c>
      <c r="L28" s="103">
        <v>0.11</v>
      </c>
      <c r="M28" s="103">
        <v>0.2</v>
      </c>
      <c r="N28" s="103">
        <v>0.33</v>
      </c>
      <c r="O28" s="104">
        <v>0.25</v>
      </c>
      <c r="P28" s="95">
        <f t="shared" si="0"/>
        <v>292.06884000000002</v>
      </c>
      <c r="Q28" t="str">
        <f t="shared" si="1"/>
        <v>ENTREPAÑO LED|CHICO</v>
      </c>
    </row>
    <row r="29" spans="1:17" x14ac:dyDescent="0.2">
      <c r="A29" s="105" t="s">
        <v>198</v>
      </c>
      <c r="B29" s="106" t="s">
        <v>227</v>
      </c>
      <c r="C29" s="107">
        <v>1</v>
      </c>
      <c r="D29" s="108">
        <v>0.15</v>
      </c>
      <c r="E29" s="108">
        <v>0</v>
      </c>
      <c r="F29" s="108">
        <v>0.6</v>
      </c>
      <c r="G29" s="108">
        <v>0.16600000000000001</v>
      </c>
      <c r="H29" s="108">
        <v>0.19</v>
      </c>
      <c r="I29" s="108">
        <v>0.19</v>
      </c>
      <c r="J29" s="108">
        <v>0.19</v>
      </c>
      <c r="K29" s="108">
        <v>0.21190000000000001</v>
      </c>
      <c r="L29" s="108">
        <v>0.19</v>
      </c>
      <c r="M29" s="108">
        <v>0.2</v>
      </c>
      <c r="N29" s="108">
        <v>0.33</v>
      </c>
      <c r="O29" s="109">
        <v>0.25</v>
      </c>
      <c r="P29" s="95">
        <f t="shared" si="0"/>
        <v>358.94083499999999</v>
      </c>
      <c r="Q29" t="str">
        <f t="shared" si="1"/>
        <v>ENTREPAÑO LED|MEDIANO</v>
      </c>
    </row>
    <row r="30" spans="1:17" ht="16" thickBot="1" x14ac:dyDescent="0.25">
      <c r="A30" s="115" t="s">
        <v>198</v>
      </c>
      <c r="B30" s="116" t="s">
        <v>228</v>
      </c>
      <c r="C30" s="117">
        <v>99</v>
      </c>
      <c r="D30" s="118">
        <v>0.2</v>
      </c>
      <c r="E30" s="118">
        <v>0</v>
      </c>
      <c r="F30" s="118">
        <v>0.7</v>
      </c>
      <c r="G30" s="118">
        <v>0.2</v>
      </c>
      <c r="H30" s="118">
        <v>0.3</v>
      </c>
      <c r="I30" s="118">
        <v>0.3</v>
      </c>
      <c r="J30" s="118">
        <v>0.3</v>
      </c>
      <c r="K30" s="118">
        <v>0.15</v>
      </c>
      <c r="L30" s="118">
        <v>0.3</v>
      </c>
      <c r="M30" s="118">
        <v>0.3</v>
      </c>
      <c r="N30" s="118">
        <v>0.33</v>
      </c>
      <c r="O30" s="119">
        <v>0.25</v>
      </c>
      <c r="P30" s="95">
        <f t="shared" si="0"/>
        <v>448.76400000000001</v>
      </c>
      <c r="Q30" t="str">
        <f t="shared" si="1"/>
        <v>ENTREPAÑO LED|GRANDE</v>
      </c>
    </row>
    <row r="31" spans="1:17" x14ac:dyDescent="0.2">
      <c r="A31" s="110" t="s">
        <v>199</v>
      </c>
      <c r="B31" s="111" t="s">
        <v>226</v>
      </c>
      <c r="C31" s="112">
        <v>0.5</v>
      </c>
      <c r="D31" s="113">
        <v>0.24</v>
      </c>
      <c r="E31" s="113">
        <v>0</v>
      </c>
      <c r="F31" s="113">
        <v>0.9</v>
      </c>
      <c r="G31" s="113">
        <v>0.24</v>
      </c>
      <c r="H31" s="113">
        <v>0.20519999999999999</v>
      </c>
      <c r="I31" s="113">
        <v>0.20519999999999999</v>
      </c>
      <c r="J31" s="113">
        <v>0.20519999999999999</v>
      </c>
      <c r="K31" s="113">
        <v>0.20619999999999999</v>
      </c>
      <c r="L31" s="113">
        <v>0.20519999999999999</v>
      </c>
      <c r="M31" s="113">
        <v>0.3</v>
      </c>
      <c r="N31" s="113">
        <v>0.12</v>
      </c>
      <c r="O31" s="114">
        <v>0.39600000000000002</v>
      </c>
      <c r="P31" s="95">
        <f t="shared" si="0"/>
        <v>434.36213400000003</v>
      </c>
      <c r="Q31" t="str">
        <f t="shared" si="1"/>
        <v>CAJÓN|CHICO</v>
      </c>
    </row>
    <row r="32" spans="1:17" x14ac:dyDescent="0.2">
      <c r="A32" s="96" t="s">
        <v>199</v>
      </c>
      <c r="B32" s="93" t="s">
        <v>227</v>
      </c>
      <c r="C32" s="94">
        <v>1</v>
      </c>
      <c r="D32" s="98">
        <v>0.24</v>
      </c>
      <c r="E32" s="98">
        <v>0</v>
      </c>
      <c r="F32" s="98">
        <v>0.9</v>
      </c>
      <c r="G32" s="98">
        <v>0.24</v>
      </c>
      <c r="H32" s="98">
        <v>0.28320000000000001</v>
      </c>
      <c r="I32" s="98">
        <v>0.28320000000000001</v>
      </c>
      <c r="J32" s="98">
        <v>0.28320000000000001</v>
      </c>
      <c r="K32" s="98">
        <v>0.2782</v>
      </c>
      <c r="L32" s="98">
        <v>0.28320000000000001</v>
      </c>
      <c r="M32" s="98">
        <v>0.3</v>
      </c>
      <c r="N32" s="98">
        <v>0.12</v>
      </c>
      <c r="O32" s="99">
        <v>0.39600000000000002</v>
      </c>
      <c r="P32" s="95">
        <f t="shared" si="0"/>
        <v>485.54189399999996</v>
      </c>
      <c r="Q32" t="str">
        <f t="shared" si="1"/>
        <v>CAJÓN|MEDIANO</v>
      </c>
    </row>
    <row r="33" spans="1:17" ht="16" thickBot="1" x14ac:dyDescent="0.25">
      <c r="A33" s="120" t="s">
        <v>199</v>
      </c>
      <c r="B33" s="121" t="s">
        <v>228</v>
      </c>
      <c r="C33" s="122">
        <v>99</v>
      </c>
      <c r="D33" s="123">
        <v>0.3</v>
      </c>
      <c r="E33" s="123">
        <v>0</v>
      </c>
      <c r="F33" s="123">
        <v>1.2</v>
      </c>
      <c r="G33" s="123">
        <v>0.3</v>
      </c>
      <c r="H33" s="123">
        <v>0.42</v>
      </c>
      <c r="I33" s="123">
        <v>0.42</v>
      </c>
      <c r="J33" s="123">
        <v>0.42</v>
      </c>
      <c r="K33" s="123">
        <v>0.3</v>
      </c>
      <c r="L33" s="123">
        <v>0.42</v>
      </c>
      <c r="M33" s="123">
        <v>0.42</v>
      </c>
      <c r="N33" s="123">
        <v>0.18</v>
      </c>
      <c r="O33" s="124">
        <v>0.48</v>
      </c>
      <c r="P33" s="95">
        <f t="shared" si="0"/>
        <v>654.61139999999989</v>
      </c>
      <c r="Q33" t="str">
        <f t="shared" si="1"/>
        <v>CAJÓN|GRANDE</v>
      </c>
    </row>
    <row r="34" spans="1:17" x14ac:dyDescent="0.2">
      <c r="A34" s="100" t="s">
        <v>200</v>
      </c>
      <c r="B34" s="101" t="s">
        <v>226</v>
      </c>
      <c r="C34" s="102">
        <v>0.5</v>
      </c>
      <c r="D34" s="103">
        <v>0.25</v>
      </c>
      <c r="E34" s="103">
        <v>0</v>
      </c>
      <c r="F34" s="103">
        <v>1</v>
      </c>
      <c r="G34" s="103">
        <v>0.33</v>
      </c>
      <c r="H34" s="103">
        <v>5.7000000000000002E-2</v>
      </c>
      <c r="I34" s="103">
        <v>5.7000000000000002E-2</v>
      </c>
      <c r="J34" s="103">
        <v>5.7000000000000002E-2</v>
      </c>
      <c r="K34" s="103">
        <v>5.7000000000000002E-2</v>
      </c>
      <c r="L34" s="103">
        <v>5.7000000000000002E-2</v>
      </c>
      <c r="M34" s="103">
        <v>1</v>
      </c>
      <c r="N34" s="103">
        <v>0.5</v>
      </c>
      <c r="O34" s="104">
        <v>0.25</v>
      </c>
      <c r="P34" s="95">
        <f t="shared" si="0"/>
        <v>489.59528999999998</v>
      </c>
      <c r="Q34" t="str">
        <f t="shared" si="1"/>
        <v>PUERTA ABATIBLE|CHICO</v>
      </c>
    </row>
    <row r="35" spans="1:17" x14ac:dyDescent="0.2">
      <c r="A35" s="105" t="s">
        <v>200</v>
      </c>
      <c r="B35" s="106" t="s">
        <v>227</v>
      </c>
      <c r="C35" s="107">
        <v>1</v>
      </c>
      <c r="D35" s="108">
        <v>0.25</v>
      </c>
      <c r="E35" s="108">
        <v>0</v>
      </c>
      <c r="F35" s="108">
        <v>1</v>
      </c>
      <c r="G35" s="108">
        <v>0.33</v>
      </c>
      <c r="H35" s="108">
        <v>0.3</v>
      </c>
      <c r="I35" s="108">
        <v>0.3</v>
      </c>
      <c r="J35" s="108">
        <v>0.3</v>
      </c>
      <c r="K35" s="108">
        <v>0.3</v>
      </c>
      <c r="L35" s="108">
        <v>0.3</v>
      </c>
      <c r="M35" s="108">
        <v>1</v>
      </c>
      <c r="N35" s="108">
        <v>0.5</v>
      </c>
      <c r="O35" s="109">
        <v>0.25</v>
      </c>
      <c r="P35" s="95">
        <f t="shared" si="0"/>
        <v>651.42600000000004</v>
      </c>
      <c r="Q35" t="str">
        <f t="shared" si="1"/>
        <v>PUERTA ABATIBLE|MEDIANO</v>
      </c>
    </row>
    <row r="36" spans="1:17" ht="16" thickBot="1" x14ac:dyDescent="0.25">
      <c r="A36" s="115" t="s">
        <v>200</v>
      </c>
      <c r="B36" s="116" t="s">
        <v>228</v>
      </c>
      <c r="C36" s="117">
        <v>99</v>
      </c>
      <c r="D36" s="118">
        <v>0.25</v>
      </c>
      <c r="E36" s="118">
        <v>0</v>
      </c>
      <c r="F36" s="118">
        <v>1</v>
      </c>
      <c r="G36" s="118">
        <v>0.33</v>
      </c>
      <c r="H36" s="118">
        <v>0.53900000000000003</v>
      </c>
      <c r="I36" s="118">
        <v>0.53900000000000003</v>
      </c>
      <c r="J36" s="118">
        <v>0.53900000000000003</v>
      </c>
      <c r="K36" s="118">
        <v>0.53920000000000001</v>
      </c>
      <c r="L36" s="118">
        <v>0.53900000000000003</v>
      </c>
      <c r="M36" s="118">
        <v>1</v>
      </c>
      <c r="N36" s="118">
        <v>0.5</v>
      </c>
      <c r="O36" s="119">
        <v>0.25</v>
      </c>
      <c r="P36" s="95">
        <f t="shared" si="0"/>
        <v>810.61836000000005</v>
      </c>
      <c r="Q36" t="str">
        <f t="shared" si="1"/>
        <v>PUERTA ABATIBLE|GRANDE</v>
      </c>
    </row>
    <row r="37" spans="1:17" x14ac:dyDescent="0.2">
      <c r="A37" s="110" t="s">
        <v>201</v>
      </c>
      <c r="B37" s="111" t="s">
        <v>226</v>
      </c>
      <c r="C37" s="112">
        <v>0.5</v>
      </c>
      <c r="D37" s="113">
        <v>0.25</v>
      </c>
      <c r="E37" s="113">
        <v>0</v>
      </c>
      <c r="F37" s="113">
        <v>1</v>
      </c>
      <c r="G37" s="113">
        <v>0.33</v>
      </c>
      <c r="H37" s="113">
        <v>5.7000000000000002E-2</v>
      </c>
      <c r="I37" s="113">
        <v>5.7000000000000002E-2</v>
      </c>
      <c r="J37" s="113">
        <v>5.7000000000000002E-2</v>
      </c>
      <c r="K37" s="113">
        <v>5.7000000000000002E-2</v>
      </c>
      <c r="L37" s="113">
        <v>5.7000000000000002E-2</v>
      </c>
      <c r="M37" s="113">
        <v>1</v>
      </c>
      <c r="N37" s="113">
        <v>0.5</v>
      </c>
      <c r="O37" s="114">
        <v>0.25</v>
      </c>
      <c r="P37" s="95">
        <f t="shared" si="0"/>
        <v>489.59528999999998</v>
      </c>
      <c r="Q37" t="str">
        <f t="shared" si="1"/>
        <v>PUERTA CORREDERA|CHICO</v>
      </c>
    </row>
    <row r="38" spans="1:17" x14ac:dyDescent="0.2">
      <c r="A38" s="96" t="s">
        <v>201</v>
      </c>
      <c r="B38" s="93" t="s">
        <v>227</v>
      </c>
      <c r="C38" s="94">
        <v>1</v>
      </c>
      <c r="D38" s="98">
        <v>0.25</v>
      </c>
      <c r="E38" s="98">
        <v>0</v>
      </c>
      <c r="F38" s="98">
        <v>1</v>
      </c>
      <c r="G38" s="98">
        <v>0.33</v>
      </c>
      <c r="H38" s="98">
        <v>0.3</v>
      </c>
      <c r="I38" s="98">
        <v>0.3</v>
      </c>
      <c r="J38" s="98">
        <v>0.3</v>
      </c>
      <c r="K38" s="98">
        <v>0.3</v>
      </c>
      <c r="L38" s="98">
        <v>0.3</v>
      </c>
      <c r="M38" s="98">
        <v>1</v>
      </c>
      <c r="N38" s="98">
        <v>0.5</v>
      </c>
      <c r="O38" s="99">
        <v>0.25</v>
      </c>
      <c r="P38" s="95">
        <f t="shared" si="0"/>
        <v>651.42600000000004</v>
      </c>
      <c r="Q38" t="str">
        <f t="shared" si="1"/>
        <v>PUERTA CORREDERA|MEDIANO</v>
      </c>
    </row>
    <row r="39" spans="1:17" ht="16" thickBot="1" x14ac:dyDescent="0.25">
      <c r="A39" s="120" t="s">
        <v>201</v>
      </c>
      <c r="B39" s="121" t="s">
        <v>228</v>
      </c>
      <c r="C39" s="122">
        <v>99</v>
      </c>
      <c r="D39" s="123">
        <v>0.25</v>
      </c>
      <c r="E39" s="123">
        <v>0</v>
      </c>
      <c r="F39" s="123">
        <v>1</v>
      </c>
      <c r="G39" s="123">
        <v>0.33</v>
      </c>
      <c r="H39" s="123">
        <v>0.53900000000000003</v>
      </c>
      <c r="I39" s="123">
        <v>0.53900000000000003</v>
      </c>
      <c r="J39" s="123">
        <v>0.53900000000000003</v>
      </c>
      <c r="K39" s="123">
        <v>0.53920000000000001</v>
      </c>
      <c r="L39" s="123">
        <v>0.53900000000000003</v>
      </c>
      <c r="M39" s="123">
        <v>1</v>
      </c>
      <c r="N39" s="123">
        <v>0.5</v>
      </c>
      <c r="O39" s="124">
        <v>0.25</v>
      </c>
      <c r="P39" s="95">
        <f t="shared" si="0"/>
        <v>810.61836000000005</v>
      </c>
      <c r="Q39" t="str">
        <f t="shared" si="1"/>
        <v>PUERTA CORREDERA|GRANDE</v>
      </c>
    </row>
    <row r="40" spans="1:17" x14ac:dyDescent="0.2">
      <c r="A40" s="100" t="s">
        <v>202</v>
      </c>
      <c r="B40" s="101" t="s">
        <v>226</v>
      </c>
      <c r="C40" s="102">
        <v>0.5</v>
      </c>
      <c r="D40" s="103">
        <v>0.25</v>
      </c>
      <c r="E40" s="103">
        <v>0</v>
      </c>
      <c r="F40" s="103">
        <v>1</v>
      </c>
      <c r="G40" s="103">
        <v>0.33</v>
      </c>
      <c r="H40" s="103">
        <v>5.7000000000000002E-2</v>
      </c>
      <c r="I40" s="103">
        <v>5.7000000000000002E-2</v>
      </c>
      <c r="J40" s="103">
        <v>5.7000000000000002E-2</v>
      </c>
      <c r="K40" s="103">
        <v>5.7000000000000002E-2</v>
      </c>
      <c r="L40" s="103">
        <v>5.7000000000000002E-2</v>
      </c>
      <c r="M40" s="103">
        <v>1</v>
      </c>
      <c r="N40" s="103">
        <v>0.5</v>
      </c>
      <c r="O40" s="104">
        <v>0.25</v>
      </c>
      <c r="P40" s="95">
        <f t="shared" si="0"/>
        <v>489.59528999999998</v>
      </c>
      <c r="Q40" t="str">
        <f t="shared" si="1"/>
        <v>PUERTA ESPEJO|CHICO</v>
      </c>
    </row>
    <row r="41" spans="1:17" x14ac:dyDescent="0.2">
      <c r="A41" s="105" t="s">
        <v>202</v>
      </c>
      <c r="B41" s="106" t="s">
        <v>227</v>
      </c>
      <c r="C41" s="107">
        <v>1</v>
      </c>
      <c r="D41" s="108">
        <v>0.25</v>
      </c>
      <c r="E41" s="108">
        <v>0</v>
      </c>
      <c r="F41" s="108">
        <v>1</v>
      </c>
      <c r="G41" s="108">
        <v>0.33</v>
      </c>
      <c r="H41" s="108">
        <v>0.3</v>
      </c>
      <c r="I41" s="108">
        <v>0.3</v>
      </c>
      <c r="J41" s="108">
        <v>0.3</v>
      </c>
      <c r="K41" s="108">
        <v>0.3</v>
      </c>
      <c r="L41" s="108">
        <v>0.3</v>
      </c>
      <c r="M41" s="108">
        <v>1</v>
      </c>
      <c r="N41" s="108">
        <v>0.5</v>
      </c>
      <c r="O41" s="109">
        <v>0.25</v>
      </c>
      <c r="P41" s="95">
        <f t="shared" si="0"/>
        <v>651.42600000000004</v>
      </c>
      <c r="Q41" t="str">
        <f t="shared" si="1"/>
        <v>PUERTA ESPEJO|MEDIANO</v>
      </c>
    </row>
    <row r="42" spans="1:17" ht="16" thickBot="1" x14ac:dyDescent="0.25">
      <c r="A42" s="115" t="s">
        <v>202</v>
      </c>
      <c r="B42" s="116" t="s">
        <v>228</v>
      </c>
      <c r="C42" s="117">
        <v>99</v>
      </c>
      <c r="D42" s="118">
        <v>0.25</v>
      </c>
      <c r="E42" s="118">
        <v>0</v>
      </c>
      <c r="F42" s="118">
        <v>1</v>
      </c>
      <c r="G42" s="118">
        <v>0.33</v>
      </c>
      <c r="H42" s="118">
        <v>0.53900000000000003</v>
      </c>
      <c r="I42" s="118">
        <v>0.53900000000000003</v>
      </c>
      <c r="J42" s="118">
        <v>0.53900000000000003</v>
      </c>
      <c r="K42" s="118">
        <v>0.53920000000000001</v>
      </c>
      <c r="L42" s="118">
        <v>0.53900000000000003</v>
      </c>
      <c r="M42" s="118">
        <v>1</v>
      </c>
      <c r="N42" s="118">
        <v>0.5</v>
      </c>
      <c r="O42" s="119">
        <v>0.25</v>
      </c>
      <c r="P42" s="95">
        <f t="shared" si="0"/>
        <v>810.61836000000005</v>
      </c>
      <c r="Q42" t="str">
        <f t="shared" si="1"/>
        <v>PUERTA ESPEJO|GRANDE</v>
      </c>
    </row>
    <row r="43" spans="1:17" x14ac:dyDescent="0.2">
      <c r="A43" s="110" t="s">
        <v>203</v>
      </c>
      <c r="B43" s="111" t="s">
        <v>226</v>
      </c>
      <c r="C43" s="112">
        <v>0.5</v>
      </c>
      <c r="D43" s="113">
        <v>0.05</v>
      </c>
      <c r="E43" s="113">
        <v>0</v>
      </c>
      <c r="F43" s="113">
        <v>0.125</v>
      </c>
      <c r="G43" s="113">
        <v>0</v>
      </c>
      <c r="H43" s="113">
        <v>0</v>
      </c>
      <c r="I43" s="113">
        <v>0</v>
      </c>
      <c r="J43" s="113">
        <v>0</v>
      </c>
      <c r="K43" s="113">
        <v>0</v>
      </c>
      <c r="L43" s="113">
        <v>0</v>
      </c>
      <c r="M43" s="113">
        <v>0</v>
      </c>
      <c r="N43" s="113">
        <v>0</v>
      </c>
      <c r="O43" s="114">
        <v>0</v>
      </c>
      <c r="P43" s="95">
        <f t="shared" si="0"/>
        <v>23.572499999999998</v>
      </c>
      <c r="Q43" t="str">
        <f t="shared" si="1"/>
        <v>TUBO COLGAR|CHICO</v>
      </c>
    </row>
    <row r="44" spans="1:17" x14ac:dyDescent="0.2">
      <c r="A44" s="96" t="s">
        <v>203</v>
      </c>
      <c r="B44" s="93" t="s">
        <v>227</v>
      </c>
      <c r="C44" s="94">
        <v>1</v>
      </c>
      <c r="D44" s="98">
        <v>0.05</v>
      </c>
      <c r="E44" s="98">
        <v>0</v>
      </c>
      <c r="F44" s="98">
        <v>0.125</v>
      </c>
      <c r="G44" s="98">
        <v>0</v>
      </c>
      <c r="H44" s="98">
        <v>0</v>
      </c>
      <c r="I44" s="98">
        <v>0</v>
      </c>
      <c r="J44" s="98">
        <v>0</v>
      </c>
      <c r="K44" s="98">
        <v>0</v>
      </c>
      <c r="L44" s="98">
        <v>0</v>
      </c>
      <c r="M44" s="98">
        <v>0</v>
      </c>
      <c r="N44" s="98">
        <v>0</v>
      </c>
      <c r="O44" s="99">
        <v>0</v>
      </c>
      <c r="P44" s="95">
        <f t="shared" si="0"/>
        <v>23.572499999999998</v>
      </c>
      <c r="Q44" t="str">
        <f t="shared" si="1"/>
        <v>TUBO COLGAR|MEDIANO</v>
      </c>
    </row>
    <row r="45" spans="1:17" ht="16" thickBot="1" x14ac:dyDescent="0.25">
      <c r="A45" s="96" t="s">
        <v>203</v>
      </c>
      <c r="B45" s="93" t="s">
        <v>228</v>
      </c>
      <c r="C45" s="94">
        <v>99</v>
      </c>
      <c r="D45" s="98">
        <v>0.06</v>
      </c>
      <c r="E45" s="98">
        <v>0</v>
      </c>
      <c r="F45" s="98">
        <v>0.13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9">
        <v>0</v>
      </c>
      <c r="P45" s="95">
        <f t="shared" si="0"/>
        <v>25.592999999999996</v>
      </c>
      <c r="Q45" t="str">
        <f t="shared" si="1"/>
        <v>TUBO COLGAR|GRANDE</v>
      </c>
    </row>
    <row r="46" spans="1:17" x14ac:dyDescent="0.2">
      <c r="A46" s="374" t="s">
        <v>1614</v>
      </c>
      <c r="B46" s="376" t="s">
        <v>226</v>
      </c>
      <c r="C46" s="390">
        <v>0.5</v>
      </c>
      <c r="D46" s="391">
        <v>0.24</v>
      </c>
      <c r="E46" s="391">
        <v>0</v>
      </c>
      <c r="F46" s="391">
        <v>0.9</v>
      </c>
      <c r="G46" s="391">
        <v>0.24</v>
      </c>
      <c r="H46" s="391">
        <v>0.1482</v>
      </c>
      <c r="I46" s="391">
        <v>0.1482</v>
      </c>
      <c r="J46" s="391">
        <v>0.1482</v>
      </c>
      <c r="K46" s="391">
        <v>0.1482</v>
      </c>
      <c r="L46" s="391">
        <v>0.1482</v>
      </c>
      <c r="M46" s="391">
        <v>0.3</v>
      </c>
      <c r="N46" s="391">
        <v>0.12</v>
      </c>
      <c r="O46" s="391">
        <v>0.39600000000000002</v>
      </c>
      <c r="P46" s="95">
        <f>D46*$A$6+E46*$B$6+F46*$C$6+G46*$D$6+H46*$E$6+I46*$F$6+J46*$G$6+K46*$H$6+L46*$I$6+M46*$J$6+N46*$K$6+O46*$L$6</f>
        <v>396.27419399999997</v>
      </c>
      <c r="Q46" t="str">
        <f>A46&amp;"|"&amp;B46</f>
        <v>ZAPATERA EXTRAÍBLE|CHICO</v>
      </c>
    </row>
    <row r="47" spans="1:17" x14ac:dyDescent="0.2">
      <c r="A47" s="392" t="s">
        <v>1614</v>
      </c>
      <c r="B47" s="381" t="s">
        <v>227</v>
      </c>
      <c r="C47" s="393">
        <v>1</v>
      </c>
      <c r="D47" s="394">
        <v>0.24</v>
      </c>
      <c r="E47" s="394">
        <v>0</v>
      </c>
      <c r="F47" s="394">
        <v>0.9</v>
      </c>
      <c r="G47" s="394">
        <v>0.24</v>
      </c>
      <c r="H47" s="394">
        <v>0.16919999999999999</v>
      </c>
      <c r="I47" s="394">
        <v>0.16919999999999999</v>
      </c>
      <c r="J47" s="394">
        <v>0.16919999999999999</v>
      </c>
      <c r="K47" s="394">
        <v>0.16919999999999999</v>
      </c>
      <c r="L47" s="394">
        <v>0.16919999999999999</v>
      </c>
      <c r="M47" s="394">
        <v>0.3</v>
      </c>
      <c r="N47" s="394">
        <v>0.12</v>
      </c>
      <c r="O47" s="394">
        <v>0.39600000000000002</v>
      </c>
      <c r="P47" s="95">
        <f>D47*$A$6+E47*$B$6+F47*$C$6+G47*$D$6+H47*$E$6+I47*$F$6+J47*$G$6+K47*$H$6+L47*$I$6+M47*$J$6+N47*$K$6+O47*$L$6</f>
        <v>410.25956399999995</v>
      </c>
      <c r="Q47" t="str">
        <f>A47&amp;"|"&amp;B47</f>
        <v>ZAPATERA EXTRAÍBLE|MEDIANO</v>
      </c>
    </row>
    <row r="48" spans="1:17" ht="16" thickBot="1" x14ac:dyDescent="0.25">
      <c r="A48" s="395" t="s">
        <v>1614</v>
      </c>
      <c r="B48" s="386" t="s">
        <v>228</v>
      </c>
      <c r="C48" s="396">
        <v>99</v>
      </c>
      <c r="D48" s="397">
        <v>0.3</v>
      </c>
      <c r="E48" s="397">
        <v>0</v>
      </c>
      <c r="F48" s="397">
        <v>1.2</v>
      </c>
      <c r="G48" s="397">
        <v>0.3</v>
      </c>
      <c r="H48" s="397">
        <v>0.24</v>
      </c>
      <c r="I48" s="397">
        <v>0.24</v>
      </c>
      <c r="J48" s="397">
        <v>0.24</v>
      </c>
      <c r="K48" s="397">
        <v>0.24</v>
      </c>
      <c r="L48" s="397">
        <v>0.24</v>
      </c>
      <c r="M48" s="397">
        <v>0.42</v>
      </c>
      <c r="N48" s="397">
        <v>0.18</v>
      </c>
      <c r="O48" s="397">
        <v>0.48</v>
      </c>
      <c r="P48" s="95">
        <f>D48*$A$6+E48*$B$6+F48*$C$6+G48*$D$6+H48*$E$6+I48*$F$6+J48*$G$6+K48*$H$6+L48*$I$6+M48*$J$6+N48*$K$6+O48*$L$6</f>
        <v>550.05479999999989</v>
      </c>
      <c r="Q48" t="str">
        <f>A48&amp;"|"&amp;B48</f>
        <v>ZAPATERA EXTRAÍBLE|GRANDE</v>
      </c>
    </row>
    <row r="49" spans="1:17" x14ac:dyDescent="0.2">
      <c r="A49" s="373" t="s">
        <v>1622</v>
      </c>
      <c r="B49" s="375" t="s">
        <v>226</v>
      </c>
      <c r="C49" s="371">
        <v>0.5</v>
      </c>
      <c r="D49" s="97">
        <v>0.15</v>
      </c>
      <c r="E49" s="97">
        <v>0</v>
      </c>
      <c r="F49" s="97">
        <v>0.25</v>
      </c>
      <c r="G49" s="97">
        <v>0.2</v>
      </c>
      <c r="H49" s="97">
        <v>0.2</v>
      </c>
      <c r="I49" s="97">
        <v>0.2</v>
      </c>
      <c r="J49" s="97">
        <v>0.2</v>
      </c>
      <c r="K49" s="97">
        <v>0.2</v>
      </c>
      <c r="L49" s="97">
        <v>0.2</v>
      </c>
      <c r="M49" s="97">
        <v>0.5</v>
      </c>
      <c r="N49" s="97">
        <v>1</v>
      </c>
      <c r="O49" s="97">
        <v>0.25</v>
      </c>
      <c r="P49" s="95">
        <f>D49*$A$6+E49*$B$6+F49*$C$6+G49*$D$6+H49*$E$6+I49*$F$6+J49*$G$6+K49*$H$6+L49*$I$6+M49*$J$6+N49*$K$6+O49*$L$6</f>
        <v>451.5915</v>
      </c>
      <c r="Q49" t="str">
        <f>A49&amp;"|"&amp;B49</f>
        <v>PARAL DELGADO 2V|CHICO</v>
      </c>
    </row>
    <row r="50" spans="1:17" x14ac:dyDescent="0.2">
      <c r="A50" s="412" t="s">
        <v>1622</v>
      </c>
      <c r="B50" s="375" t="s">
        <v>227</v>
      </c>
      <c r="C50" s="371">
        <v>1</v>
      </c>
      <c r="D50" s="97">
        <v>0.15</v>
      </c>
      <c r="E50" s="97">
        <v>0</v>
      </c>
      <c r="F50" s="97">
        <v>0.3</v>
      </c>
      <c r="G50" s="97">
        <v>0.2</v>
      </c>
      <c r="H50" s="97">
        <v>0.35</v>
      </c>
      <c r="I50" s="97">
        <v>0.35</v>
      </c>
      <c r="J50" s="97">
        <v>0.35</v>
      </c>
      <c r="K50" s="97">
        <v>0.35</v>
      </c>
      <c r="L50" s="97">
        <v>0.35</v>
      </c>
      <c r="M50" s="97">
        <v>0.5</v>
      </c>
      <c r="N50" s="97">
        <v>1</v>
      </c>
      <c r="O50" s="97">
        <v>0.25</v>
      </c>
      <c r="P50" s="95">
        <f>D50*$A$6+E50*$B$6+F50*$C$6+G50*$D$6+H50*$E$6+I50*$F$6+J50*$G$6+K50*$H$6+L50*$I$6+M50*$J$6+N50*$K$6+O50*$L$6</f>
        <v>558.22199999999987</v>
      </c>
      <c r="Q50" t="str">
        <f>A50&amp;"|"&amp;B50</f>
        <v>PARAL DELGADO 2V|MEDIANO</v>
      </c>
    </row>
    <row r="51" spans="1:17" x14ac:dyDescent="0.2">
      <c r="A51" s="412" t="s">
        <v>1622</v>
      </c>
      <c r="B51" s="375" t="s">
        <v>228</v>
      </c>
      <c r="C51" s="371">
        <v>99</v>
      </c>
      <c r="D51" s="97">
        <v>0.2</v>
      </c>
      <c r="E51" s="97">
        <v>0</v>
      </c>
      <c r="F51" s="97">
        <v>0.4</v>
      </c>
      <c r="G51" s="97">
        <v>0.3</v>
      </c>
      <c r="H51" s="97">
        <v>0.55000000000000004</v>
      </c>
      <c r="I51" s="97">
        <v>0.55000000000000004</v>
      </c>
      <c r="J51" s="97">
        <v>0.55000000000000004</v>
      </c>
      <c r="K51" s="97">
        <v>0.55000000000000004</v>
      </c>
      <c r="L51" s="97">
        <v>0.55000000000000004</v>
      </c>
      <c r="M51" s="97">
        <v>0.5</v>
      </c>
      <c r="N51" s="97">
        <v>1</v>
      </c>
      <c r="O51" s="97">
        <v>0.25</v>
      </c>
      <c r="P51" s="95">
        <f>D51*$A$6+E51*$B$6+F51*$C$6+G51*$D$6+H51*$E$6+I51*$F$6+J51*$G$6+K51*$H$6+L51*$I$6+M51*$J$6+N51*$K$6+O51*$L$6</f>
        <v>725.19600000000003</v>
      </c>
      <c r="Q51" t="str">
        <f>A51&amp;"|"&amp;B51</f>
        <v>PARAL DELGADO 2V|GRANDE</v>
      </c>
    </row>
    <row r="52" spans="1:17" x14ac:dyDescent="0.2">
      <c r="A52" s="373" t="s">
        <v>1623</v>
      </c>
      <c r="B52" s="375" t="s">
        <v>226</v>
      </c>
      <c r="C52" s="371">
        <v>0.5</v>
      </c>
      <c r="D52" s="97">
        <v>0.12</v>
      </c>
      <c r="E52" s="97">
        <v>0</v>
      </c>
      <c r="F52" s="97">
        <v>0.2</v>
      </c>
      <c r="G52" s="97">
        <v>0.2</v>
      </c>
      <c r="H52" s="97">
        <v>0.1</v>
      </c>
      <c r="I52" s="97">
        <v>0.1</v>
      </c>
      <c r="J52" s="97">
        <v>0.1</v>
      </c>
      <c r="K52" s="97">
        <v>0.1</v>
      </c>
      <c r="L52" s="97">
        <v>0.1</v>
      </c>
      <c r="M52" s="97">
        <v>0.2</v>
      </c>
      <c r="N52" s="97">
        <v>0.5</v>
      </c>
      <c r="O52" s="97">
        <v>0.25</v>
      </c>
      <c r="P52" s="95">
        <f>D52*$A$6+E52*$B$6+F52*$C$6+G52*$D$6+H52*$E$6+I52*$F$6+J52*$G$6+K52*$H$6+L52*$I$6+M52*$J$6+N52*$K$6+O52*$L$6</f>
        <v>265.80149999999998</v>
      </c>
      <c r="Q52" t="str">
        <f>A52&amp;"|"&amp;B52</f>
        <v>ENTREPAÑO DELGADO|CHICO</v>
      </c>
    </row>
    <row r="53" spans="1:17" x14ac:dyDescent="0.2">
      <c r="A53" s="412" t="s">
        <v>1623</v>
      </c>
      <c r="B53" s="375" t="s">
        <v>227</v>
      </c>
      <c r="C53" s="371">
        <v>1</v>
      </c>
      <c r="D53" s="97">
        <v>0.15</v>
      </c>
      <c r="E53" s="97">
        <v>0</v>
      </c>
      <c r="F53" s="97">
        <v>0.25</v>
      </c>
      <c r="G53" s="97">
        <v>0.2</v>
      </c>
      <c r="H53" s="97">
        <v>0.28999999999999998</v>
      </c>
      <c r="I53" s="97">
        <v>0.28999999999999998</v>
      </c>
      <c r="J53" s="97">
        <v>0.28999999999999998</v>
      </c>
      <c r="K53" s="97">
        <v>0.27</v>
      </c>
      <c r="L53" s="97">
        <v>0.28999999999999998</v>
      </c>
      <c r="M53" s="97">
        <v>0.2</v>
      </c>
      <c r="N53" s="97">
        <v>0.5</v>
      </c>
      <c r="O53" s="97">
        <v>0.25</v>
      </c>
      <c r="P53" s="95">
        <f>D53*$A$6+E53*$B$6+F53*$C$6+G53*$D$6+H53*$E$6+I53*$F$6+J53*$G$6+K53*$H$6+L53*$I$6+M53*$J$6+N53*$K$6+O53*$L$6</f>
        <v>400.55880000000002</v>
      </c>
      <c r="Q53" t="str">
        <f>A53&amp;"|"&amp;B53</f>
        <v>ENTREPAÑO DELGADO|MEDIANO</v>
      </c>
    </row>
    <row r="54" spans="1:17" x14ac:dyDescent="0.2">
      <c r="A54" s="412" t="s">
        <v>1623</v>
      </c>
      <c r="B54" s="375" t="s">
        <v>228</v>
      </c>
      <c r="C54" s="371">
        <v>99</v>
      </c>
      <c r="D54" s="97">
        <v>0.2</v>
      </c>
      <c r="E54" s="97">
        <v>0</v>
      </c>
      <c r="F54" s="97">
        <v>0.35</v>
      </c>
      <c r="G54" s="97">
        <v>0.3</v>
      </c>
      <c r="H54" s="97">
        <v>0.51</v>
      </c>
      <c r="I54" s="97">
        <v>0.51</v>
      </c>
      <c r="J54" s="97">
        <v>0.51</v>
      </c>
      <c r="K54" s="97">
        <v>0.51</v>
      </c>
      <c r="L54" s="97">
        <v>0.51</v>
      </c>
      <c r="M54" s="97">
        <v>0.5</v>
      </c>
      <c r="N54" s="97">
        <v>0.5</v>
      </c>
      <c r="O54" s="97">
        <v>0.25</v>
      </c>
      <c r="P54" s="95">
        <f>D54*$A$6+E54*$B$6+F54*$C$6+G54*$D$6+H54*$E$6+I54*$F$6+J54*$G$6+K54*$H$6+L54*$I$6+M54*$J$6+N54*$K$6+O54*$L$6</f>
        <v>624.47219999999993</v>
      </c>
      <c r="Q54" t="str">
        <f>A54&amp;"|"&amp;B54</f>
        <v>ENTREPAÑO DELGADO|GRANDE</v>
      </c>
    </row>
    <row r="55" spans="1:17" x14ac:dyDescent="0.2">
      <c r="A55" s="373" t="s">
        <v>708</v>
      </c>
      <c r="B55" s="375" t="s">
        <v>226</v>
      </c>
      <c r="C55" s="371">
        <v>0.5</v>
      </c>
      <c r="D55" s="97">
        <v>0.1</v>
      </c>
      <c r="E55" s="97">
        <v>0</v>
      </c>
      <c r="F55" s="97">
        <v>0.1</v>
      </c>
      <c r="G55" s="97">
        <v>0</v>
      </c>
      <c r="H55" s="97">
        <v>0</v>
      </c>
      <c r="I55" s="97">
        <v>0</v>
      </c>
      <c r="J55" s="97">
        <v>0</v>
      </c>
      <c r="K55" s="97">
        <v>0</v>
      </c>
      <c r="L55" s="97">
        <v>0</v>
      </c>
      <c r="M55" s="97">
        <v>0</v>
      </c>
      <c r="N55" s="97">
        <v>0.5</v>
      </c>
      <c r="O55" s="97">
        <v>0</v>
      </c>
      <c r="P55" s="95">
        <f>D55*$A$6+E55*$B$6+F55*$C$6+G55*$D$6+H55*$E$6+I55*$F$6+J55*$G$6+K55*$H$6+L55*$I$6+M55*$J$6+N55*$K$6+O55*$L$6</f>
        <v>94.289999999999992</v>
      </c>
      <c r="Q55" t="str">
        <f>A55&amp;"|"&amp;B55</f>
        <v>ESPEJO|CHICO</v>
      </c>
    </row>
    <row r="56" spans="1:17" x14ac:dyDescent="0.2">
      <c r="A56" s="412" t="s">
        <v>708</v>
      </c>
      <c r="B56" s="375" t="s">
        <v>227</v>
      </c>
      <c r="C56" s="371">
        <v>1</v>
      </c>
      <c r="D56" s="97">
        <v>0.1</v>
      </c>
      <c r="E56" s="97">
        <v>0</v>
      </c>
      <c r="F56" s="97">
        <v>0.15</v>
      </c>
      <c r="G56" s="97">
        <v>0</v>
      </c>
      <c r="H56" s="97">
        <v>0</v>
      </c>
      <c r="I56" s="97">
        <v>0</v>
      </c>
      <c r="J56" s="97">
        <v>0</v>
      </c>
      <c r="K56" s="97">
        <v>0</v>
      </c>
      <c r="L56" s="97">
        <v>0</v>
      </c>
      <c r="M56" s="97">
        <v>0</v>
      </c>
      <c r="N56" s="97">
        <v>0.5</v>
      </c>
      <c r="O56" s="97">
        <v>0</v>
      </c>
      <c r="P56" s="95">
        <f>D56*$A$6+E56*$B$6+F56*$C$6+G56*$D$6+H56*$E$6+I56*$F$6+J56*$G$6+K56*$H$6+L56*$I$6+M56*$J$6+N56*$K$6+O56*$L$6</f>
        <v>101.02499999999999</v>
      </c>
      <c r="Q56" t="str">
        <f>A56&amp;"|"&amp;B56</f>
        <v>ESPEJO|MEDIANO</v>
      </c>
    </row>
    <row r="57" spans="1:17" x14ac:dyDescent="0.2">
      <c r="A57" s="412" t="s">
        <v>708</v>
      </c>
      <c r="B57" s="375" t="s">
        <v>228</v>
      </c>
      <c r="C57" s="371">
        <v>99</v>
      </c>
      <c r="D57" s="97">
        <v>0.15</v>
      </c>
      <c r="E57" s="97">
        <v>0</v>
      </c>
      <c r="F57" s="97">
        <v>0.2</v>
      </c>
      <c r="G57" s="97">
        <v>0</v>
      </c>
      <c r="H57" s="97">
        <v>0</v>
      </c>
      <c r="I57" s="97">
        <v>0</v>
      </c>
      <c r="J57" s="97">
        <v>0</v>
      </c>
      <c r="K57" s="97">
        <v>0</v>
      </c>
      <c r="L57" s="97">
        <v>0</v>
      </c>
      <c r="M57" s="97">
        <v>0</v>
      </c>
      <c r="N57" s="97">
        <v>0.5</v>
      </c>
      <c r="O57" s="97">
        <v>0</v>
      </c>
      <c r="P57" s="95">
        <f>D57*$A$6+E57*$B$6+F57*$C$6+G57*$D$6+H57*$E$6+I57*$F$6+J57*$G$6+K57*$H$6+L57*$I$6+M57*$J$6+N57*$K$6+O57*$L$6</f>
        <v>114.49499999999999</v>
      </c>
      <c r="Q57" t="str">
        <f>A57&amp;"|"&amp;B57</f>
        <v>ESPEJO|GRANDE</v>
      </c>
    </row>
    <row r="58" spans="1:17" x14ac:dyDescent="0.2">
      <c r="A58" s="373" t="s">
        <v>1624</v>
      </c>
      <c r="B58" s="375" t="s">
        <v>226</v>
      </c>
      <c r="C58" s="371">
        <v>0.5</v>
      </c>
      <c r="D58" s="97">
        <v>0.5</v>
      </c>
      <c r="E58" s="97">
        <v>0</v>
      </c>
      <c r="F58" s="97">
        <v>0.15</v>
      </c>
      <c r="G58" s="97">
        <v>0</v>
      </c>
      <c r="H58" s="97">
        <v>0.3</v>
      </c>
      <c r="I58" s="97">
        <v>0.2</v>
      </c>
      <c r="J58" s="97">
        <v>0.2</v>
      </c>
      <c r="K58" s="97">
        <v>0.2</v>
      </c>
      <c r="L58" s="97">
        <v>0.3</v>
      </c>
      <c r="M58" s="97">
        <v>0.5</v>
      </c>
      <c r="N58" s="97">
        <v>0.15</v>
      </c>
      <c r="O58" s="97">
        <v>0.15</v>
      </c>
      <c r="P58" s="95">
        <f>D58*$A$6+E58*$B$6+F58*$C$6+G58*$D$6+H58*$E$6+I58*$F$6+J58*$G$6+K58*$H$6+L58*$I$6+M58*$J$6+N58*$K$6+O58*$L$6</f>
        <v>356.38649999999996</v>
      </c>
      <c r="Q58" t="str">
        <f>A58&amp;"|"&amp;B58</f>
        <v>MOLDURA SENCILLA|CHICO</v>
      </c>
    </row>
    <row r="59" spans="1:17" x14ac:dyDescent="0.2">
      <c r="A59" s="412" t="s">
        <v>1624</v>
      </c>
      <c r="B59" s="375" t="s">
        <v>227</v>
      </c>
      <c r="C59" s="371">
        <v>1</v>
      </c>
      <c r="D59" s="97">
        <v>0.5</v>
      </c>
      <c r="E59" s="97">
        <v>0</v>
      </c>
      <c r="F59" s="97">
        <v>0.15</v>
      </c>
      <c r="G59" s="97">
        <v>0</v>
      </c>
      <c r="H59" s="97">
        <v>0.35</v>
      </c>
      <c r="I59" s="97">
        <v>0.25</v>
      </c>
      <c r="J59" s="97">
        <v>0.25</v>
      </c>
      <c r="K59" s="97">
        <v>0.25</v>
      </c>
      <c r="L59" s="97">
        <v>0.35</v>
      </c>
      <c r="M59" s="97">
        <v>0.6</v>
      </c>
      <c r="N59" s="97">
        <v>0.15</v>
      </c>
      <c r="O59" s="97">
        <v>0.15</v>
      </c>
      <c r="P59" s="95">
        <f>D59*$A$6+E59*$B$6+F59*$C$6+G59*$D$6+H59*$E$6+I59*$F$6+J59*$G$6+K59*$H$6+L59*$I$6+M59*$J$6+N59*$K$6+O59*$L$6</f>
        <v>403.37399999999997</v>
      </c>
      <c r="Q59" t="str">
        <f>A59&amp;"|"&amp;B59</f>
        <v>MOLDURA SENCILLA|MEDIANO</v>
      </c>
    </row>
    <row r="60" spans="1:17" x14ac:dyDescent="0.2">
      <c r="A60" s="412" t="s">
        <v>1624</v>
      </c>
      <c r="B60" s="375" t="s">
        <v>228</v>
      </c>
      <c r="C60" s="371">
        <v>99</v>
      </c>
      <c r="D60" s="97">
        <v>0.6</v>
      </c>
      <c r="E60" s="97">
        <v>0</v>
      </c>
      <c r="F60" s="97">
        <v>0.2</v>
      </c>
      <c r="G60" s="97">
        <v>0</v>
      </c>
      <c r="H60" s="97">
        <v>0.5</v>
      </c>
      <c r="I60" s="97">
        <v>0.3</v>
      </c>
      <c r="J60" s="97">
        <v>0.3</v>
      </c>
      <c r="K60" s="97">
        <v>0.3</v>
      </c>
      <c r="L60" s="97">
        <v>0.5</v>
      </c>
      <c r="M60" s="97">
        <v>0.7</v>
      </c>
      <c r="N60" s="97">
        <v>0.15</v>
      </c>
      <c r="O60" s="97">
        <v>0.15</v>
      </c>
      <c r="P60" s="95">
        <f>D60*$A$6+E60*$B$6+F60*$C$6+G60*$D$6+H60*$E$6+I60*$F$6+J60*$G$6+K60*$H$6+L60*$I$6+M60*$J$6+N60*$K$6+O60*$L$6</f>
        <v>497.02049999999997</v>
      </c>
      <c r="Q60" t="str">
        <f>A60&amp;"|"&amp;B60</f>
        <v>MOLDURA SENCILLA|GRANDE</v>
      </c>
    </row>
    <row r="61" spans="1:17" x14ac:dyDescent="0.2">
      <c r="A61" s="373" t="s">
        <v>1625</v>
      </c>
      <c r="B61" s="375" t="s">
        <v>226</v>
      </c>
      <c r="C61" s="371">
        <v>0.5</v>
      </c>
      <c r="D61" s="97">
        <v>0.7</v>
      </c>
      <c r="E61" s="97">
        <v>0</v>
      </c>
      <c r="F61" s="97">
        <v>0.15</v>
      </c>
      <c r="G61" s="97">
        <v>0</v>
      </c>
      <c r="H61" s="97">
        <v>0.3</v>
      </c>
      <c r="I61" s="97">
        <v>0.2</v>
      </c>
      <c r="J61" s="97">
        <v>0.2</v>
      </c>
      <c r="K61" s="97">
        <v>0.2</v>
      </c>
      <c r="L61" s="97">
        <v>0.3</v>
      </c>
      <c r="M61" s="97">
        <v>0.55000000000000004</v>
      </c>
      <c r="N61" s="97">
        <v>0.15</v>
      </c>
      <c r="O61" s="97">
        <v>0.15</v>
      </c>
      <c r="P61" s="95">
        <f>D61*$A$6+E61*$B$6+F61*$C$6+G61*$D$6+H61*$E$6+I61*$F$6+J61*$G$6+K61*$H$6+L61*$I$6+M61*$J$6+N61*$K$6+O61*$L$6</f>
        <v>390.17099999999999</v>
      </c>
      <c r="Q61" t="str">
        <f>A61&amp;"|"&amp;B61</f>
        <v>MOLDURA MEDIA|CHICO</v>
      </c>
    </row>
    <row r="62" spans="1:17" x14ac:dyDescent="0.2">
      <c r="A62" s="412" t="s">
        <v>1625</v>
      </c>
      <c r="B62" s="375" t="s">
        <v>227</v>
      </c>
      <c r="C62" s="371">
        <v>1</v>
      </c>
      <c r="D62" s="97">
        <v>0.7</v>
      </c>
      <c r="E62" s="97">
        <v>0</v>
      </c>
      <c r="F62" s="97">
        <v>0.15</v>
      </c>
      <c r="G62" s="97">
        <v>0</v>
      </c>
      <c r="H62" s="97">
        <v>0.35</v>
      </c>
      <c r="I62" s="97">
        <v>0.25</v>
      </c>
      <c r="J62" s="97">
        <v>0.25</v>
      </c>
      <c r="K62" s="97">
        <v>0.25</v>
      </c>
      <c r="L62" s="97">
        <v>0.35</v>
      </c>
      <c r="M62" s="97">
        <v>0.65</v>
      </c>
      <c r="N62" s="97">
        <v>0.15</v>
      </c>
      <c r="O62" s="97">
        <v>0.15</v>
      </c>
      <c r="P62" s="95">
        <f>D62*$A$6+E62*$B$6+F62*$C$6+G62*$D$6+H62*$E$6+I62*$F$6+J62*$G$6+K62*$H$6+L62*$I$6+M62*$J$6+N62*$K$6+O62*$L$6</f>
        <v>437.15849999999995</v>
      </c>
      <c r="Q62" t="str">
        <f>A62&amp;"|"&amp;B62</f>
        <v>MOLDURA MEDIA|MEDIANO</v>
      </c>
    </row>
    <row r="63" spans="1:17" x14ac:dyDescent="0.2">
      <c r="A63" s="412" t="s">
        <v>1625</v>
      </c>
      <c r="B63" s="375" t="s">
        <v>228</v>
      </c>
      <c r="C63" s="371">
        <v>99</v>
      </c>
      <c r="D63" s="97">
        <v>0.8</v>
      </c>
      <c r="E63" s="97">
        <v>0</v>
      </c>
      <c r="F63" s="97">
        <v>0.2</v>
      </c>
      <c r="G63" s="97">
        <v>0</v>
      </c>
      <c r="H63" s="97">
        <v>0.5</v>
      </c>
      <c r="I63" s="97">
        <v>0.3</v>
      </c>
      <c r="J63" s="97">
        <v>0.3</v>
      </c>
      <c r="K63" s="97">
        <v>0.3</v>
      </c>
      <c r="L63" s="97">
        <v>0.5</v>
      </c>
      <c r="M63" s="97">
        <v>0.75</v>
      </c>
      <c r="N63" s="97">
        <v>0.15</v>
      </c>
      <c r="O63" s="97">
        <v>0.15</v>
      </c>
      <c r="P63" s="95">
        <f>D63*$A$6+E63*$B$6+F63*$C$6+G63*$D$6+H63*$E$6+I63*$F$6+J63*$G$6+K63*$H$6+L63*$I$6+M63*$J$6+N63*$K$6+O63*$L$6</f>
        <v>530.80499999999995</v>
      </c>
      <c r="Q63" t="str">
        <f>A63&amp;"|"&amp;B63</f>
        <v>MOLDURA MEDIA|GRANDE</v>
      </c>
    </row>
    <row r="64" spans="1:17" x14ac:dyDescent="0.2">
      <c r="A64" s="373" t="s">
        <v>1626</v>
      </c>
      <c r="B64" s="375" t="s">
        <v>226</v>
      </c>
      <c r="C64" s="371">
        <v>0.5</v>
      </c>
      <c r="D64" s="97">
        <v>1</v>
      </c>
      <c r="E64" s="97">
        <v>0</v>
      </c>
      <c r="F64" s="97">
        <v>0.2</v>
      </c>
      <c r="G64" s="97">
        <v>0</v>
      </c>
      <c r="H64" s="97">
        <v>0.35</v>
      </c>
      <c r="I64" s="97">
        <v>0.25</v>
      </c>
      <c r="J64" s="97">
        <v>0.25</v>
      </c>
      <c r="K64" s="97">
        <v>0.25</v>
      </c>
      <c r="L64" s="97">
        <v>0.35</v>
      </c>
      <c r="M64" s="97">
        <v>0.6</v>
      </c>
      <c r="N64" s="97">
        <v>0.15</v>
      </c>
      <c r="O64" s="97">
        <v>0.15</v>
      </c>
      <c r="P64" s="95">
        <f>D64*$A$6+E64*$B$6+F64*$C$6+G64*$D$6+H64*$E$6+I64*$F$6+J64*$G$6+K64*$H$6+L64*$I$6+M64*$J$6+N64*$K$6+O64*$L$6</f>
        <v>477.459</v>
      </c>
      <c r="Q64" t="str">
        <f>A64&amp;"|"&amp;B64</f>
        <v>MOLDURA DIFÍCIL|CHICO</v>
      </c>
    </row>
    <row r="65" spans="1:17" x14ac:dyDescent="0.2">
      <c r="A65" s="412" t="s">
        <v>1626</v>
      </c>
      <c r="B65" s="375" t="s">
        <v>227</v>
      </c>
      <c r="C65" s="371">
        <v>1</v>
      </c>
      <c r="D65" s="97">
        <v>1</v>
      </c>
      <c r="E65" s="97">
        <v>0</v>
      </c>
      <c r="F65" s="97">
        <v>0.2</v>
      </c>
      <c r="G65" s="97">
        <v>0</v>
      </c>
      <c r="H65" s="97">
        <v>0.4</v>
      </c>
      <c r="I65" s="97">
        <v>0.3</v>
      </c>
      <c r="J65" s="97">
        <v>0.3</v>
      </c>
      <c r="K65" s="97">
        <v>0.3</v>
      </c>
      <c r="L65" s="97">
        <v>0.4</v>
      </c>
      <c r="M65" s="97">
        <v>0.7</v>
      </c>
      <c r="N65" s="97">
        <v>0.15</v>
      </c>
      <c r="O65" s="97">
        <v>0.15</v>
      </c>
      <c r="P65" s="95">
        <f>D65*$A$6+E65*$B$6+F65*$C$6+G65*$D$6+H65*$E$6+I65*$F$6+J65*$G$6+K65*$H$6+L65*$I$6+M65*$J$6+N65*$K$6+O65*$L$6</f>
        <v>524.4464999999999</v>
      </c>
      <c r="Q65" t="str">
        <f>A65&amp;"|"&amp;B65</f>
        <v>MOLDURA DIFÍCIL|MEDIANO</v>
      </c>
    </row>
    <row r="66" spans="1:17" x14ac:dyDescent="0.2">
      <c r="A66" s="412" t="s">
        <v>1626</v>
      </c>
      <c r="B66" s="375" t="s">
        <v>228</v>
      </c>
      <c r="C66" s="371">
        <v>99</v>
      </c>
      <c r="D66" s="97">
        <v>1.2</v>
      </c>
      <c r="E66" s="97">
        <v>0</v>
      </c>
      <c r="F66" s="97">
        <v>0.25</v>
      </c>
      <c r="G66" s="97">
        <v>0</v>
      </c>
      <c r="H66" s="97">
        <v>0.55000000000000004</v>
      </c>
      <c r="I66" s="97">
        <v>0.35</v>
      </c>
      <c r="J66" s="97">
        <v>0.35</v>
      </c>
      <c r="K66" s="97">
        <v>0.35</v>
      </c>
      <c r="L66" s="97">
        <v>0.55000000000000004</v>
      </c>
      <c r="M66" s="97">
        <v>0.8</v>
      </c>
      <c r="N66" s="97">
        <v>0.15</v>
      </c>
      <c r="O66" s="97">
        <v>0.15</v>
      </c>
      <c r="P66" s="95">
        <f>D66*$A$6+E66*$B$6+F66*$C$6+G66*$D$6+H66*$E$6+I66*$F$6+J66*$G$6+K66*$H$6+L66*$I$6+M66*$J$6+N66*$K$6+O66*$L$6</f>
        <v>631.56299999999999</v>
      </c>
      <c r="Q66" t="str">
        <f>A66&amp;"|"&amp;B66</f>
        <v>MOLDURA DIFÍCIL|GRANDE</v>
      </c>
    </row>
    <row r="67" spans="1:17" x14ac:dyDescent="0.2">
      <c r="A67" s="373" t="s">
        <v>1627</v>
      </c>
      <c r="B67" s="375" t="s">
        <v>226</v>
      </c>
      <c r="C67" s="371">
        <v>0.5</v>
      </c>
      <c r="D67" s="97">
        <v>1.5</v>
      </c>
      <c r="E67" s="97">
        <v>0</v>
      </c>
      <c r="F67" s="97">
        <v>0.3</v>
      </c>
      <c r="G67" s="97">
        <v>0</v>
      </c>
      <c r="H67" s="97">
        <v>0.5</v>
      </c>
      <c r="I67" s="97">
        <v>0.35</v>
      </c>
      <c r="J67" s="97">
        <v>0.35</v>
      </c>
      <c r="K67" s="97">
        <v>0.35</v>
      </c>
      <c r="L67" s="97">
        <v>0.5</v>
      </c>
      <c r="M67" s="97">
        <v>0.8</v>
      </c>
      <c r="N67" s="97">
        <v>0.2</v>
      </c>
      <c r="O67" s="97">
        <v>0.2</v>
      </c>
      <c r="P67" s="95">
        <f>D67*$A$6+E67*$B$6+F67*$C$6+G67*$D$6+H67*$E$6+I67*$F$6+J67*$G$6+K67*$H$6+L67*$I$6+M67*$J$6+N67*$K$6+O67*$L$6</f>
        <v>679.06049999999993</v>
      </c>
      <c r="Q67" t="str">
        <f>A67&amp;"|"&amp;B67</f>
        <v>MOLDURA GRUESA DIFÍCIL|CHICO</v>
      </c>
    </row>
    <row r="68" spans="1:17" x14ac:dyDescent="0.2">
      <c r="A68" s="412" t="s">
        <v>1627</v>
      </c>
      <c r="B68" s="375" t="s">
        <v>227</v>
      </c>
      <c r="C68" s="371">
        <v>1</v>
      </c>
      <c r="D68" s="97">
        <v>1.5</v>
      </c>
      <c r="E68" s="97">
        <v>0</v>
      </c>
      <c r="F68" s="97">
        <v>0.35</v>
      </c>
      <c r="G68" s="97">
        <v>0</v>
      </c>
      <c r="H68" s="97">
        <v>0.6</v>
      </c>
      <c r="I68" s="97">
        <v>0.4</v>
      </c>
      <c r="J68" s="97">
        <v>0.4</v>
      </c>
      <c r="K68" s="97">
        <v>0.4</v>
      </c>
      <c r="L68" s="97">
        <v>0.6</v>
      </c>
      <c r="M68" s="97">
        <v>0.9</v>
      </c>
      <c r="N68" s="97">
        <v>0.2</v>
      </c>
      <c r="O68" s="97">
        <v>0.2</v>
      </c>
      <c r="P68" s="95">
        <f>D68*$A$6+E68*$B$6+F68*$C$6+G68*$D$6+H68*$E$6+I68*$F$6+J68*$G$6+K68*$H$6+L68*$I$6+M68*$J$6+N68*$K$6+O68*$L$6</f>
        <v>746.00999999999988</v>
      </c>
      <c r="Q68" t="str">
        <f>A68&amp;"|"&amp;B68</f>
        <v>MOLDURA GRUESA DIFÍCIL|MEDIANO</v>
      </c>
    </row>
    <row r="69" spans="1:17" x14ac:dyDescent="0.2">
      <c r="A69" s="412" t="s">
        <v>1627</v>
      </c>
      <c r="B69" s="375" t="s">
        <v>228</v>
      </c>
      <c r="C69" s="371">
        <v>99</v>
      </c>
      <c r="D69" s="97">
        <v>1.8</v>
      </c>
      <c r="E69" s="97">
        <v>0</v>
      </c>
      <c r="F69" s="97">
        <v>0.4</v>
      </c>
      <c r="G69" s="97">
        <v>0</v>
      </c>
      <c r="H69" s="97">
        <v>0.7</v>
      </c>
      <c r="I69" s="97">
        <v>0.5</v>
      </c>
      <c r="J69" s="97">
        <v>0.5</v>
      </c>
      <c r="K69" s="97">
        <v>0.5</v>
      </c>
      <c r="L69" s="97">
        <v>0.7</v>
      </c>
      <c r="M69" s="97">
        <v>1</v>
      </c>
      <c r="N69" s="97">
        <v>0.2</v>
      </c>
      <c r="O69" s="97">
        <v>0.2</v>
      </c>
      <c r="P69" s="95">
        <f>D69*$A$6+E69*$B$6+F69*$C$6+G69*$D$6+H69*$E$6+I69*$F$6+J69*$G$6+K69*$H$6+L69*$I$6+M69*$J$6+N69*$K$6+O69*$L$6</f>
        <v>873.44100000000014</v>
      </c>
      <c r="Q69" t="str">
        <f>A69&amp;"|"&amp;B69</f>
        <v>MOLDURA GRUESA DIFÍCIL|GRANDE</v>
      </c>
    </row>
    <row r="70" spans="1:17" x14ac:dyDescent="0.2">
      <c r="A70" s="373" t="s">
        <v>1628</v>
      </c>
      <c r="B70" s="375" t="s">
        <v>226</v>
      </c>
      <c r="C70" s="371">
        <v>0.5</v>
      </c>
      <c r="D70" s="97">
        <v>0.1</v>
      </c>
      <c r="E70" s="97">
        <v>0</v>
      </c>
      <c r="F70" s="97">
        <v>0.15</v>
      </c>
      <c r="G70" s="97">
        <v>0</v>
      </c>
      <c r="H70" s="97">
        <v>0.08</v>
      </c>
      <c r="I70" s="97">
        <v>0.08</v>
      </c>
      <c r="J70" s="97">
        <v>0.08</v>
      </c>
      <c r="K70" s="97">
        <v>0.08</v>
      </c>
      <c r="L70" s="97">
        <v>0.08</v>
      </c>
      <c r="M70" s="97">
        <v>0.15</v>
      </c>
      <c r="N70" s="97">
        <v>0.2</v>
      </c>
      <c r="O70" s="97">
        <v>0.15</v>
      </c>
      <c r="P70" s="95">
        <f>D70*$A$6+E70*$B$6+F70*$C$6+G70*$D$6+H70*$E$6+I70*$F$6+J70*$G$6+K70*$H$6+L70*$I$6+M70*$J$6+N70*$K$6+O70*$L$6</f>
        <v>154.95959999999999</v>
      </c>
      <c r="Q70" t="str">
        <f>A70&amp;"|"&amp;B70</f>
        <v>FONDO MADERA|CHICO</v>
      </c>
    </row>
    <row r="71" spans="1:17" x14ac:dyDescent="0.2">
      <c r="A71" s="412" t="s">
        <v>1628</v>
      </c>
      <c r="B71" s="375" t="s">
        <v>227</v>
      </c>
      <c r="C71" s="371">
        <v>1</v>
      </c>
      <c r="D71" s="97">
        <v>0.12</v>
      </c>
      <c r="E71" s="97">
        <v>0</v>
      </c>
      <c r="F71" s="97">
        <v>0.18</v>
      </c>
      <c r="G71" s="97">
        <v>0</v>
      </c>
      <c r="H71" s="97">
        <v>0.15</v>
      </c>
      <c r="I71" s="97">
        <v>0.15</v>
      </c>
      <c r="J71" s="97">
        <v>0.15</v>
      </c>
      <c r="K71" s="97">
        <v>0.15</v>
      </c>
      <c r="L71" s="97">
        <v>0.15</v>
      </c>
      <c r="M71" s="97">
        <v>0.2</v>
      </c>
      <c r="N71" s="97">
        <v>0.2</v>
      </c>
      <c r="O71" s="97">
        <v>0.15</v>
      </c>
      <c r="P71" s="95">
        <f>D71*$A$6+E71*$B$6+F71*$C$6+G71*$D$6+H71*$E$6+I71*$F$6+J71*$G$6+K71*$H$6+L71*$I$6+M71*$J$6+N71*$K$6+O71*$L$6</f>
        <v>215.15699999999998</v>
      </c>
      <c r="Q71" t="str">
        <f>A71&amp;"|"&amp;B71</f>
        <v>FONDO MADERA|MEDIANO</v>
      </c>
    </row>
    <row r="72" spans="1:17" x14ac:dyDescent="0.2">
      <c r="A72" s="412" t="s">
        <v>1628</v>
      </c>
      <c r="B72" s="375" t="s">
        <v>228</v>
      </c>
      <c r="C72" s="371">
        <v>99</v>
      </c>
      <c r="D72" s="97">
        <v>0.15</v>
      </c>
      <c r="E72" s="97">
        <v>0</v>
      </c>
      <c r="F72" s="97">
        <v>0.2</v>
      </c>
      <c r="G72" s="97">
        <v>0</v>
      </c>
      <c r="H72" s="97">
        <v>0.25</v>
      </c>
      <c r="I72" s="97">
        <v>0.25</v>
      </c>
      <c r="J72" s="97">
        <v>0.25</v>
      </c>
      <c r="K72" s="97">
        <v>0.2</v>
      </c>
      <c r="L72" s="97">
        <v>0.25</v>
      </c>
      <c r="M72" s="97">
        <v>0.3</v>
      </c>
      <c r="N72" s="97">
        <v>0.2</v>
      </c>
      <c r="O72" s="97">
        <v>0.15</v>
      </c>
      <c r="P72" s="95">
        <f>D72*$A$6+E72*$B$6+F72*$C$6+G72*$D$6+H72*$E$6+I72*$F$6+J72*$G$6+K72*$H$6+L72*$I$6+M72*$J$6+N72*$K$6+O72*$L$6</f>
        <v>295.7955</v>
      </c>
      <c r="Q72" t="str">
        <f>A72&amp;"|"&amp;B72</f>
        <v>FONDO MADERA|GRANDE</v>
      </c>
    </row>
    <row r="74" spans="1:17" x14ac:dyDescent="0.2">
      <c r="A74" s="39" t="s">
        <v>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3DAD1-667C-2A41-99F2-FD0B8FC5F61A}">
  <dimension ref="A1:J36"/>
  <sheetViews>
    <sheetView workbookViewId="0">
      <pane ySplit="4" topLeftCell="A5" activePane="bottomLeft" state="frozen"/>
      <selection pane="bottomLeft"/>
    </sheetView>
  </sheetViews>
  <sheetFormatPr baseColWidth="10" defaultRowHeight="15" x14ac:dyDescent="0.2"/>
  <cols>
    <col min="1" max="1" width="21.6640625" customWidth="1"/>
    <col min="2" max="2" width="10" customWidth="1"/>
    <col min="3" max="3" width="15" customWidth="1"/>
    <col min="4" max="4" width="36.6640625" customWidth="1"/>
    <col min="5" max="5" width="8.33203125" customWidth="1"/>
    <col min="6" max="6" width="11.6640625" customWidth="1"/>
    <col min="7" max="7" width="8.33203125" customWidth="1"/>
    <col min="8" max="8" width="13.33203125" customWidth="1"/>
    <col min="9" max="9" width="25" customWidth="1"/>
    <col min="10" max="10" width="21.6640625" customWidth="1"/>
  </cols>
  <sheetData>
    <row r="1" spans="1:10" ht="18" x14ac:dyDescent="0.2">
      <c r="A1" s="151" t="s">
        <v>1498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x14ac:dyDescent="0.2">
      <c r="A2" s="310" t="s">
        <v>1499</v>
      </c>
    </row>
    <row r="4" spans="1:10" x14ac:dyDescent="0.2">
      <c r="A4" s="67" t="s">
        <v>186</v>
      </c>
      <c r="B4" s="67" t="s">
        <v>206</v>
      </c>
      <c r="C4" s="67" t="s">
        <v>1500</v>
      </c>
      <c r="D4" s="67" t="s">
        <v>1501</v>
      </c>
      <c r="E4" s="67" t="s">
        <v>29</v>
      </c>
      <c r="F4" s="67" t="s">
        <v>1502</v>
      </c>
      <c r="G4" s="67" t="s">
        <v>119</v>
      </c>
      <c r="H4" s="67" t="s">
        <v>1503</v>
      </c>
      <c r="I4" s="67" t="s">
        <v>122</v>
      </c>
      <c r="J4" s="67" t="s">
        <v>1504</v>
      </c>
    </row>
    <row r="5" spans="1:10" x14ac:dyDescent="0.2">
      <c r="A5" s="313" t="s">
        <v>199</v>
      </c>
      <c r="B5" s="314">
        <v>35</v>
      </c>
      <c r="C5" s="315" t="s">
        <v>579</v>
      </c>
      <c r="D5" s="315" t="s">
        <v>581</v>
      </c>
      <c r="E5" s="314" t="s">
        <v>544</v>
      </c>
      <c r="F5" s="316">
        <v>46.94</v>
      </c>
      <c r="G5" s="314">
        <v>1</v>
      </c>
      <c r="H5" s="317">
        <f>IF(F5=0,0,F5*G5)</f>
        <v>46.94</v>
      </c>
      <c r="I5" s="318" t="s">
        <v>1505</v>
      </c>
      <c r="J5" s="319" t="s">
        <v>1506</v>
      </c>
    </row>
    <row r="6" spans="1:10" x14ac:dyDescent="0.2">
      <c r="A6" s="320" t="s">
        <v>199</v>
      </c>
      <c r="B6" s="321">
        <v>40</v>
      </c>
      <c r="C6" s="320" t="s">
        <v>582</v>
      </c>
      <c r="D6" s="320" t="s">
        <v>584</v>
      </c>
      <c r="E6" s="321" t="s">
        <v>544</v>
      </c>
      <c r="F6" s="322">
        <v>58.99</v>
      </c>
      <c r="G6" s="321">
        <v>1</v>
      </c>
      <c r="H6" s="323">
        <f>IF(F6=0,0,F6*G6)</f>
        <v>58.99</v>
      </c>
      <c r="I6" s="324" t="s">
        <v>1505</v>
      </c>
      <c r="J6" s="325" t="s">
        <v>1507</v>
      </c>
    </row>
    <row r="7" spans="1:10" x14ac:dyDescent="0.2">
      <c r="A7" s="326" t="s">
        <v>199</v>
      </c>
      <c r="B7" s="327">
        <v>45</v>
      </c>
      <c r="C7" s="326" t="s">
        <v>585</v>
      </c>
      <c r="D7" s="326" t="s">
        <v>587</v>
      </c>
      <c r="E7" s="327" t="s">
        <v>544</v>
      </c>
      <c r="F7" s="328">
        <v>60.33</v>
      </c>
      <c r="G7" s="327">
        <v>1</v>
      </c>
      <c r="H7" s="329">
        <f>IF(F7=0,0,F7*G7)</f>
        <v>60.33</v>
      </c>
      <c r="I7" s="330" t="s">
        <v>1505</v>
      </c>
      <c r="J7" s="331" t="s">
        <v>1508</v>
      </c>
    </row>
    <row r="8" spans="1:10" x14ac:dyDescent="0.2">
      <c r="A8" s="320" t="s">
        <v>199</v>
      </c>
      <c r="B8" s="321">
        <v>50</v>
      </c>
      <c r="C8" s="320" t="s">
        <v>588</v>
      </c>
      <c r="D8" s="320" t="s">
        <v>590</v>
      </c>
      <c r="E8" s="321" t="s">
        <v>544</v>
      </c>
      <c r="F8" s="322">
        <v>73.73</v>
      </c>
      <c r="G8" s="321">
        <v>1</v>
      </c>
      <c r="H8" s="323">
        <f>IF(F8=0,0,F8*G8)</f>
        <v>73.73</v>
      </c>
      <c r="I8" s="324" t="s">
        <v>1505</v>
      </c>
      <c r="J8" s="325" t="s">
        <v>1509</v>
      </c>
    </row>
    <row r="9" spans="1:10" x14ac:dyDescent="0.2">
      <c r="A9" s="326" t="s">
        <v>199</v>
      </c>
      <c r="B9" s="327">
        <v>55</v>
      </c>
      <c r="C9" s="326" t="s">
        <v>591</v>
      </c>
      <c r="D9" s="326" t="s">
        <v>593</v>
      </c>
      <c r="E9" s="327" t="s">
        <v>544</v>
      </c>
      <c r="F9" s="328">
        <v>50.52</v>
      </c>
      <c r="G9" s="327">
        <v>1</v>
      </c>
      <c r="H9" s="329">
        <f>IF(F9=0,0,F9*G9)</f>
        <v>50.52</v>
      </c>
      <c r="I9" s="330" t="s">
        <v>1505</v>
      </c>
      <c r="J9" s="331" t="s">
        <v>1510</v>
      </c>
    </row>
    <row r="10" spans="1:10" x14ac:dyDescent="0.2">
      <c r="A10" s="320" t="s">
        <v>199</v>
      </c>
      <c r="B10" s="321">
        <v>60</v>
      </c>
      <c r="C10" s="320" t="s">
        <v>594</v>
      </c>
      <c r="D10" s="320" t="s">
        <v>596</v>
      </c>
      <c r="E10" s="321" t="s">
        <v>544</v>
      </c>
      <c r="F10" s="322">
        <v>54.97</v>
      </c>
      <c r="G10" s="321">
        <v>1</v>
      </c>
      <c r="H10" s="323">
        <f>IF(F10=0,0,F10*G10)</f>
        <v>54.97</v>
      </c>
      <c r="I10" s="324" t="s">
        <v>1505</v>
      </c>
      <c r="J10" s="325" t="s">
        <v>1511</v>
      </c>
    </row>
    <row r="11" spans="1:10" x14ac:dyDescent="0.2">
      <c r="A11" s="332" t="s">
        <v>200</v>
      </c>
      <c r="B11" s="327" t="s">
        <v>1512</v>
      </c>
      <c r="C11" s="326" t="s">
        <v>509</v>
      </c>
      <c r="D11" s="326" t="s">
        <v>511</v>
      </c>
      <c r="E11" s="327" t="s">
        <v>37</v>
      </c>
      <c r="F11" s="328">
        <v>60.57</v>
      </c>
      <c r="G11" s="327">
        <v>4</v>
      </c>
      <c r="H11" s="329">
        <f>IF(F11=0,0,F11*G11)</f>
        <v>242.28</v>
      </c>
      <c r="I11" s="330" t="s">
        <v>1513</v>
      </c>
      <c r="J11" s="331" t="s">
        <v>1514</v>
      </c>
    </row>
    <row r="12" spans="1:10" x14ac:dyDescent="0.2">
      <c r="A12" s="320" t="s">
        <v>200</v>
      </c>
      <c r="B12" s="321" t="s">
        <v>1512</v>
      </c>
      <c r="C12" s="320" t="s">
        <v>549</v>
      </c>
      <c r="D12" s="320" t="s">
        <v>551</v>
      </c>
      <c r="E12" s="321" t="s">
        <v>37</v>
      </c>
      <c r="F12" s="322">
        <v>17.28</v>
      </c>
      <c r="G12" s="321">
        <v>4</v>
      </c>
      <c r="H12" s="323">
        <f>IF(F12=0,0,F12*G12)</f>
        <v>69.12</v>
      </c>
      <c r="I12" s="324" t="s">
        <v>1515</v>
      </c>
      <c r="J12" s="325" t="s">
        <v>1514</v>
      </c>
    </row>
    <row r="13" spans="1:10" x14ac:dyDescent="0.2">
      <c r="A13" s="332" t="s">
        <v>201</v>
      </c>
      <c r="B13" s="327" t="s">
        <v>1512</v>
      </c>
      <c r="C13" s="326"/>
      <c r="D13" s="326" t="s">
        <v>1516</v>
      </c>
      <c r="E13" s="327"/>
      <c r="F13" s="328">
        <v>0</v>
      </c>
      <c r="G13" s="327">
        <v>0</v>
      </c>
      <c r="H13" s="329">
        <f>IF(F13=0,0,F13*G13)</f>
        <v>0</v>
      </c>
      <c r="I13" s="330" t="s">
        <v>1517</v>
      </c>
      <c r="J13" s="331" t="s">
        <v>1518</v>
      </c>
    </row>
    <row r="14" spans="1:10" x14ac:dyDescent="0.2">
      <c r="A14" s="333" t="s">
        <v>202</v>
      </c>
      <c r="B14" s="321" t="s">
        <v>1512</v>
      </c>
      <c r="C14" s="320" t="s">
        <v>509</v>
      </c>
      <c r="D14" s="320" t="s">
        <v>511</v>
      </c>
      <c r="E14" s="321" t="s">
        <v>37</v>
      </c>
      <c r="F14" s="322">
        <v>60.57</v>
      </c>
      <c r="G14" s="321">
        <v>4</v>
      </c>
      <c r="H14" s="323">
        <f>IF(F14=0,0,F14*G14)</f>
        <v>242.28</v>
      </c>
      <c r="I14" s="324" t="s">
        <v>1513</v>
      </c>
      <c r="J14" s="325" t="s">
        <v>1519</v>
      </c>
    </row>
    <row r="15" spans="1:10" x14ac:dyDescent="0.2">
      <c r="A15" s="326" t="s">
        <v>202</v>
      </c>
      <c r="B15" s="327" t="s">
        <v>1512</v>
      </c>
      <c r="C15" s="326" t="s">
        <v>549</v>
      </c>
      <c r="D15" s="326" t="s">
        <v>551</v>
      </c>
      <c r="E15" s="327" t="s">
        <v>37</v>
      </c>
      <c r="F15" s="328">
        <v>17.28</v>
      </c>
      <c r="G15" s="327">
        <v>4</v>
      </c>
      <c r="H15" s="329">
        <f>IF(F15=0,0,F15*G15)</f>
        <v>69.12</v>
      </c>
      <c r="I15" s="330" t="s">
        <v>1520</v>
      </c>
      <c r="J15" s="331" t="s">
        <v>1519</v>
      </c>
    </row>
    <row r="16" spans="1:10" x14ac:dyDescent="0.2">
      <c r="A16" s="320" t="s">
        <v>202</v>
      </c>
      <c r="B16" s="321" t="s">
        <v>1512</v>
      </c>
      <c r="C16" s="320" t="s">
        <v>744</v>
      </c>
      <c r="D16" s="320" t="s">
        <v>1521</v>
      </c>
      <c r="E16" s="321" t="s">
        <v>137</v>
      </c>
      <c r="F16" s="322">
        <v>450.42</v>
      </c>
      <c r="G16" s="321"/>
      <c r="H16" s="323">
        <f>IF(F16=0,0,F16*G16)</f>
        <v>0</v>
      </c>
      <c r="I16" s="324" t="s">
        <v>1522</v>
      </c>
      <c r="J16" s="325" t="s">
        <v>1519</v>
      </c>
    </row>
    <row r="17" spans="1:10" x14ac:dyDescent="0.2">
      <c r="A17" s="332" t="s">
        <v>198</v>
      </c>
      <c r="B17" s="327" t="s">
        <v>1512</v>
      </c>
      <c r="C17" s="326" t="s">
        <v>704</v>
      </c>
      <c r="D17" s="326" t="s">
        <v>706</v>
      </c>
      <c r="E17" s="327" t="s">
        <v>37</v>
      </c>
      <c r="F17" s="328">
        <v>1008</v>
      </c>
      <c r="G17" s="327"/>
      <c r="H17" s="329">
        <f>IF(F17=0,0,F17*G17)</f>
        <v>0</v>
      </c>
      <c r="I17" s="330" t="s">
        <v>1523</v>
      </c>
      <c r="J17" s="331" t="s">
        <v>1524</v>
      </c>
    </row>
    <row r="18" spans="1:10" x14ac:dyDescent="0.2">
      <c r="A18" s="333" t="s">
        <v>203</v>
      </c>
      <c r="B18" s="321" t="s">
        <v>1512</v>
      </c>
      <c r="C18" s="320" t="s">
        <v>648</v>
      </c>
      <c r="D18" s="320" t="s">
        <v>1525</v>
      </c>
      <c r="E18" s="321" t="s">
        <v>37</v>
      </c>
      <c r="F18" s="322">
        <v>331.04</v>
      </c>
      <c r="G18" s="321"/>
      <c r="H18" s="323">
        <f>IF(F18=0,0,F18*G18)</f>
        <v>0</v>
      </c>
      <c r="I18" s="324" t="s">
        <v>1526</v>
      </c>
      <c r="J18" s="325" t="s">
        <v>1527</v>
      </c>
    </row>
    <row r="19" spans="1:10" x14ac:dyDescent="0.2">
      <c r="A19" s="326" t="s">
        <v>203</v>
      </c>
      <c r="B19" s="327" t="s">
        <v>1512</v>
      </c>
      <c r="C19" s="326" t="s">
        <v>531</v>
      </c>
      <c r="D19" s="326" t="s">
        <v>533</v>
      </c>
      <c r="E19" s="327" t="s">
        <v>37</v>
      </c>
      <c r="F19" s="328">
        <v>1.37</v>
      </c>
      <c r="G19" s="327">
        <v>2</v>
      </c>
      <c r="H19" s="329">
        <f>IF(F19=0,0,F19*G19)</f>
        <v>2.74</v>
      </c>
      <c r="I19" s="330" t="s">
        <v>1528</v>
      </c>
      <c r="J19" s="331" t="s">
        <v>1527</v>
      </c>
    </row>
    <row r="20" spans="1:10" x14ac:dyDescent="0.2">
      <c r="A20" s="333" t="s">
        <v>192</v>
      </c>
      <c r="B20" s="321" t="s">
        <v>1512</v>
      </c>
      <c r="C20" s="320"/>
      <c r="D20" s="320" t="s">
        <v>1529</v>
      </c>
      <c r="E20" s="321"/>
      <c r="F20" s="322">
        <v>0</v>
      </c>
      <c r="G20" s="321">
        <v>0</v>
      </c>
      <c r="H20" s="323">
        <f>IF(F20=0,0,F20*G20)</f>
        <v>0</v>
      </c>
      <c r="I20" s="324"/>
      <c r="J20" s="325" t="s">
        <v>1530</v>
      </c>
    </row>
    <row r="21" spans="1:10" x14ac:dyDescent="0.2">
      <c r="A21" s="332" t="s">
        <v>193</v>
      </c>
      <c r="B21" s="327" t="s">
        <v>1512</v>
      </c>
      <c r="C21" s="326"/>
      <c r="D21" s="326" t="s">
        <v>1529</v>
      </c>
      <c r="E21" s="327"/>
      <c r="F21" s="328">
        <v>0</v>
      </c>
      <c r="G21" s="327">
        <v>0</v>
      </c>
      <c r="H21" s="329">
        <f>IF(F21=0,0,F21*G21)</f>
        <v>0</v>
      </c>
      <c r="I21" s="330"/>
      <c r="J21" s="331" t="s">
        <v>1531</v>
      </c>
    </row>
    <row r="22" spans="1:10" x14ac:dyDescent="0.2">
      <c r="A22" s="333" t="s">
        <v>194</v>
      </c>
      <c r="B22" s="321" t="s">
        <v>1512</v>
      </c>
      <c r="C22" s="320"/>
      <c r="D22" s="320" t="s">
        <v>1529</v>
      </c>
      <c r="E22" s="321"/>
      <c r="F22" s="322">
        <v>0</v>
      </c>
      <c r="G22" s="321">
        <v>0</v>
      </c>
      <c r="H22" s="323">
        <f>IF(F22=0,0,F22*G22)</f>
        <v>0</v>
      </c>
      <c r="I22" s="324"/>
      <c r="J22" s="325" t="s">
        <v>1532</v>
      </c>
    </row>
    <row r="23" spans="1:10" x14ac:dyDescent="0.2">
      <c r="A23" s="332" t="s">
        <v>195</v>
      </c>
      <c r="B23" s="327" t="s">
        <v>1512</v>
      </c>
      <c r="C23" s="326"/>
      <c r="D23" s="326" t="s">
        <v>1529</v>
      </c>
      <c r="E23" s="327"/>
      <c r="F23" s="328">
        <v>0</v>
      </c>
      <c r="G23" s="327">
        <v>0</v>
      </c>
      <c r="H23" s="329">
        <f>IF(F23=0,0,F23*G23)</f>
        <v>0</v>
      </c>
      <c r="I23" s="330"/>
      <c r="J23" s="331" t="s">
        <v>1533</v>
      </c>
    </row>
    <row r="24" spans="1:10" x14ac:dyDescent="0.2">
      <c r="A24" s="333" t="s">
        <v>196</v>
      </c>
      <c r="B24" s="321" t="s">
        <v>1512</v>
      </c>
      <c r="C24" s="320"/>
      <c r="D24" s="320" t="s">
        <v>1529</v>
      </c>
      <c r="E24" s="321"/>
      <c r="F24" s="322">
        <v>0</v>
      </c>
      <c r="G24" s="321">
        <v>0</v>
      </c>
      <c r="H24" s="323">
        <f>IF(F24=0,0,F24*G24)</f>
        <v>0</v>
      </c>
      <c r="I24" s="324"/>
      <c r="J24" s="325" t="s">
        <v>1534</v>
      </c>
    </row>
    <row r="25" spans="1:10" x14ac:dyDescent="0.2">
      <c r="A25" s="334" t="s">
        <v>197</v>
      </c>
      <c r="B25" s="335" t="s">
        <v>1512</v>
      </c>
      <c r="C25" s="336"/>
      <c r="D25" s="336" t="s">
        <v>1529</v>
      </c>
      <c r="E25" s="335"/>
      <c r="F25" s="337">
        <v>0</v>
      </c>
      <c r="G25" s="335">
        <v>0</v>
      </c>
      <c r="H25" s="338">
        <f>IF(F25=0,0,F25*G25)</f>
        <v>0</v>
      </c>
      <c r="I25" s="339"/>
      <c r="J25" s="340" t="s">
        <v>1535</v>
      </c>
    </row>
    <row r="26" spans="1:10" x14ac:dyDescent="0.2">
      <c r="A26" s="398" t="s">
        <v>1614</v>
      </c>
      <c r="B26" s="399">
        <v>55</v>
      </c>
      <c r="C26" s="400" t="s">
        <v>591</v>
      </c>
      <c r="D26" s="400" t="s">
        <v>593</v>
      </c>
      <c r="E26" s="399" t="s">
        <v>544</v>
      </c>
      <c r="F26" s="401">
        <v>50.52</v>
      </c>
      <c r="G26" s="399">
        <v>1</v>
      </c>
      <c r="H26" s="402">
        <f>IF(F26=0,0,F26*G26)</f>
        <v>50.52</v>
      </c>
      <c r="I26" s="403" t="s">
        <v>1615</v>
      </c>
      <c r="J26" s="404" t="str">
        <f>A26&amp;"|"&amp;B26</f>
        <v>ZAPATERA EXTRAÍBLE|55</v>
      </c>
    </row>
    <row r="27" spans="1:10" x14ac:dyDescent="0.2">
      <c r="A27" s="405" t="s">
        <v>1614</v>
      </c>
      <c r="B27" s="406">
        <v>60</v>
      </c>
      <c r="C27" s="407" t="s">
        <v>594</v>
      </c>
      <c r="D27" s="407" t="s">
        <v>596</v>
      </c>
      <c r="E27" s="406" t="s">
        <v>544</v>
      </c>
      <c r="F27" s="408">
        <v>54.97</v>
      </c>
      <c r="G27" s="406">
        <v>1</v>
      </c>
      <c r="H27" s="409">
        <f>IF(F27=0,0,F27*G27)</f>
        <v>54.97</v>
      </c>
      <c r="I27" s="410" t="s">
        <v>1616</v>
      </c>
      <c r="J27" s="411" t="str">
        <f>A27&amp;"|"&amp;B27</f>
        <v>ZAPATERA EXTRAÍBLE|60</v>
      </c>
    </row>
    <row r="29" spans="1:10" x14ac:dyDescent="0.2">
      <c r="A29" s="413" t="s">
        <v>1622</v>
      </c>
      <c r="B29" s="414" t="s">
        <v>1512</v>
      </c>
      <c r="D29" s="415" t="s">
        <v>1529</v>
      </c>
      <c r="F29" s="416">
        <v>0</v>
      </c>
      <c r="G29" s="414">
        <v>0</v>
      </c>
      <c r="H29" s="417">
        <f>IF(F29=0,0,F29*G29)</f>
        <v>0</v>
      </c>
      <c r="J29" s="418" t="str">
        <f>A29&amp;"|"&amp;B29</f>
        <v>PARAL DELGADO 2V|TODAS</v>
      </c>
    </row>
    <row r="30" spans="1:10" x14ac:dyDescent="0.2">
      <c r="A30" s="311" t="s">
        <v>1623</v>
      </c>
      <c r="B30" s="419" t="s">
        <v>1512</v>
      </c>
      <c r="D30" s="420" t="s">
        <v>1529</v>
      </c>
      <c r="F30" s="421">
        <v>0</v>
      </c>
      <c r="G30" s="419">
        <v>0</v>
      </c>
      <c r="H30" s="422">
        <f>IF(F30=0,0,F30*G30)</f>
        <v>0</v>
      </c>
      <c r="J30" s="423" t="str">
        <f>A30&amp;"|"&amp;B30</f>
        <v>ENTREPAÑO DELGADO|TODAS</v>
      </c>
    </row>
    <row r="31" spans="1:10" x14ac:dyDescent="0.2">
      <c r="A31" s="413" t="s">
        <v>708</v>
      </c>
      <c r="B31" s="414" t="s">
        <v>1512</v>
      </c>
      <c r="D31" s="415" t="s">
        <v>1529</v>
      </c>
      <c r="F31" s="416">
        <v>0</v>
      </c>
      <c r="G31" s="414">
        <v>0</v>
      </c>
      <c r="H31" s="417">
        <f>IF(F31=0,0,F31*G31)</f>
        <v>0</v>
      </c>
      <c r="J31" s="418" t="str">
        <f>A31&amp;"|"&amp;B31</f>
        <v>ESPEJO|TODAS</v>
      </c>
    </row>
    <row r="32" spans="1:10" x14ac:dyDescent="0.2">
      <c r="A32" s="311" t="s">
        <v>1624</v>
      </c>
      <c r="B32" s="419" t="s">
        <v>1512</v>
      </c>
      <c r="D32" s="420" t="s">
        <v>1529</v>
      </c>
      <c r="F32" s="421">
        <v>0</v>
      </c>
      <c r="G32" s="419">
        <v>0</v>
      </c>
      <c r="H32" s="422">
        <f>IF(F32=0,0,F32*G32)</f>
        <v>0</v>
      </c>
      <c r="J32" s="423" t="str">
        <f>A32&amp;"|"&amp;B32</f>
        <v>MOLDURA SENCILLA|TODAS</v>
      </c>
    </row>
    <row r="33" spans="1:10" x14ac:dyDescent="0.2">
      <c r="A33" s="413" t="s">
        <v>1625</v>
      </c>
      <c r="B33" s="414" t="s">
        <v>1512</v>
      </c>
      <c r="D33" s="415" t="s">
        <v>1529</v>
      </c>
      <c r="F33" s="416">
        <v>0</v>
      </c>
      <c r="G33" s="414">
        <v>0</v>
      </c>
      <c r="H33" s="417">
        <f>IF(F33=0,0,F33*G33)</f>
        <v>0</v>
      </c>
      <c r="J33" s="418" t="str">
        <f>A33&amp;"|"&amp;B33</f>
        <v>MOLDURA MEDIA|TODAS</v>
      </c>
    </row>
    <row r="34" spans="1:10" x14ac:dyDescent="0.2">
      <c r="A34" s="311" t="s">
        <v>1626</v>
      </c>
      <c r="B34" s="419" t="s">
        <v>1512</v>
      </c>
      <c r="D34" s="420" t="s">
        <v>1529</v>
      </c>
      <c r="F34" s="421">
        <v>0</v>
      </c>
      <c r="G34" s="419">
        <v>0</v>
      </c>
      <c r="H34" s="422">
        <f>IF(F34=0,0,F34*G34)</f>
        <v>0</v>
      </c>
      <c r="J34" s="423" t="str">
        <f>A34&amp;"|"&amp;B34</f>
        <v>MOLDURA DIFÍCIL|TODAS</v>
      </c>
    </row>
    <row r="35" spans="1:10" x14ac:dyDescent="0.2">
      <c r="A35" s="413" t="s">
        <v>1627</v>
      </c>
      <c r="B35" s="414" t="s">
        <v>1512</v>
      </c>
      <c r="D35" s="415" t="s">
        <v>1529</v>
      </c>
      <c r="F35" s="416">
        <v>0</v>
      </c>
      <c r="G35" s="414">
        <v>0</v>
      </c>
      <c r="H35" s="417">
        <f>IF(F35=0,0,F35*G35)</f>
        <v>0</v>
      </c>
      <c r="J35" s="418" t="str">
        <f>A35&amp;"|"&amp;B35</f>
        <v>MOLDURA GRUESA DIFÍCIL|TODAS</v>
      </c>
    </row>
    <row r="36" spans="1:10" x14ac:dyDescent="0.2">
      <c r="A36" s="311" t="s">
        <v>1628</v>
      </c>
      <c r="B36" s="419" t="s">
        <v>1512</v>
      </c>
      <c r="D36" s="420" t="s">
        <v>1529</v>
      </c>
      <c r="F36" s="421">
        <v>0</v>
      </c>
      <c r="G36" s="419">
        <v>0</v>
      </c>
      <c r="H36" s="422">
        <f>IF(F36=0,0,F36*G36)</f>
        <v>0</v>
      </c>
      <c r="J36" s="423" t="str">
        <f>A36&amp;"|"&amp;B36</f>
        <v>FONDO MADERA|TODAS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74C3C"/>
  </sheetPr>
  <dimension ref="A1:Q211"/>
  <sheetViews>
    <sheetView showGridLines="0" tabSelected="1" zoomScaleNormal="100" workbookViewId="0">
      <pane ySplit="13" topLeftCell="A36" activePane="bottomLeft" state="frozen"/>
      <selection pane="bottomLeft" activeCell="B16" sqref="B16"/>
    </sheetView>
  </sheetViews>
  <sheetFormatPr baseColWidth="10" defaultColWidth="8.6640625" defaultRowHeight="15" x14ac:dyDescent="0.2"/>
  <cols>
    <col min="1" max="1" width="13.5" customWidth="1"/>
    <col min="2" max="2" width="23.33203125" customWidth="1"/>
    <col min="3" max="3" width="17.1640625" customWidth="1"/>
    <col min="4" max="4" width="13.33203125" customWidth="1"/>
    <col min="5" max="5" width="19.5" customWidth="1"/>
    <col min="6" max="6" width="18.33203125" customWidth="1"/>
    <col min="7" max="7" width="8.33203125" customWidth="1"/>
    <col min="8" max="13" width="13.33203125" customWidth="1"/>
    <col min="14" max="14" width="15.83203125" customWidth="1"/>
    <col min="15" max="15" width="10" customWidth="1"/>
    <col min="16" max="16" width="16.6640625" customWidth="1"/>
    <col min="17" max="17" width="25" customWidth="1"/>
  </cols>
  <sheetData>
    <row r="1" spans="1:17" ht="27.75" customHeight="1" x14ac:dyDescent="0.2">
      <c r="A1" s="11" t="s">
        <v>176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  <c r="Q1" s="12"/>
    </row>
    <row r="3" spans="1:17" ht="15" customHeight="1" x14ac:dyDescent="0.2">
      <c r="A3" s="35" t="s">
        <v>103</v>
      </c>
      <c r="B3" s="6" t="s">
        <v>1629</v>
      </c>
      <c r="C3" s="6"/>
      <c r="D3" s="6"/>
      <c r="E3" s="6"/>
      <c r="F3" s="6"/>
      <c r="H3" s="35" t="s">
        <v>104</v>
      </c>
      <c r="I3" s="55">
        <f ca="1">TODAY()</f>
        <v>46081</v>
      </c>
      <c r="J3" s="5"/>
      <c r="K3" s="5"/>
      <c r="L3" s="5"/>
      <c r="M3" s="5"/>
    </row>
    <row r="4" spans="1:17" ht="15" customHeight="1" x14ac:dyDescent="0.2">
      <c r="A4" s="35" t="s">
        <v>105</v>
      </c>
      <c r="B4" s="6" t="s">
        <v>1630</v>
      </c>
      <c r="C4" s="6"/>
      <c r="D4" s="6"/>
      <c r="E4" s="6"/>
      <c r="F4" s="6"/>
      <c r="H4" s="35" t="s">
        <v>106</v>
      </c>
      <c r="I4" s="6" t="s">
        <v>107</v>
      </c>
      <c r="J4" s="6"/>
      <c r="K4" s="6"/>
      <c r="L4" s="6"/>
      <c r="M4" s="6"/>
    </row>
    <row r="5" spans="1:17" ht="15" customHeight="1" x14ac:dyDescent="0.2">
      <c r="A5" s="35" t="s">
        <v>108</v>
      </c>
      <c r="B5" s="6"/>
      <c r="C5" s="6"/>
      <c r="D5" s="6"/>
      <c r="E5" s="6"/>
      <c r="F5" s="6"/>
      <c r="H5" s="35" t="s">
        <v>109</v>
      </c>
      <c r="I5" s="4" t="s">
        <v>1593</v>
      </c>
      <c r="J5" s="4"/>
      <c r="K5" s="4"/>
      <c r="L5" s="4"/>
      <c r="M5" s="4"/>
    </row>
    <row r="6" spans="1:17" ht="15" customHeight="1" x14ac:dyDescent="0.2">
      <c r="A6" s="35" t="s">
        <v>110</v>
      </c>
      <c r="B6" s="6" t="s">
        <v>111</v>
      </c>
      <c r="C6" s="6"/>
      <c r="D6" s="6"/>
      <c r="E6" s="6"/>
      <c r="F6" s="6"/>
      <c r="H6" s="35" t="s">
        <v>112</v>
      </c>
      <c r="I6" s="6" t="s">
        <v>113</v>
      </c>
      <c r="J6" s="6"/>
      <c r="K6" s="6"/>
      <c r="L6" s="6"/>
      <c r="M6" s="6"/>
    </row>
    <row r="8" spans="1:17" ht="17.25" customHeight="1" x14ac:dyDescent="0.2">
      <c r="A8" s="3" t="s">
        <v>114</v>
      </c>
      <c r="B8" s="3"/>
      <c r="C8" s="3"/>
      <c r="D8" s="2">
        <f>IFERROR(VLOOKUP(I5,FUO!A5:C14,3,FALSE()),"⚠️ FUO no encontrado")</f>
        <v>1.25</v>
      </c>
      <c r="E8" s="2"/>
      <c r="F8" s="2"/>
      <c r="G8" s="3" t="s">
        <v>115</v>
      </c>
      <c r="H8" s="3"/>
      <c r="I8" s="1">
        <f>IFERROR(VLOOKUP(I5,FUO!A5:E14,5,FALSE()),1.16)</f>
        <v>1.1599999999999999</v>
      </c>
      <c r="J8" s="1"/>
      <c r="K8" s="341"/>
    </row>
    <row r="12" spans="1:17" x14ac:dyDescent="0.2">
      <c r="B12" s="312" t="s">
        <v>1619</v>
      </c>
      <c r="C12" s="312" t="s">
        <v>1620</v>
      </c>
      <c r="D12" s="312" t="s">
        <v>1620</v>
      </c>
      <c r="E12" s="312" t="s">
        <v>1621</v>
      </c>
    </row>
    <row r="13" spans="1:17" ht="36" customHeight="1" x14ac:dyDescent="0.2">
      <c r="A13" s="67" t="s">
        <v>1637</v>
      </c>
      <c r="B13" s="67" t="s">
        <v>186</v>
      </c>
      <c r="C13" s="67" t="s">
        <v>20</v>
      </c>
      <c r="D13" s="67" t="s">
        <v>208</v>
      </c>
      <c r="E13" s="67" t="s">
        <v>1602</v>
      </c>
      <c r="F13" s="67" t="s">
        <v>22</v>
      </c>
      <c r="G13" s="67" t="s">
        <v>209</v>
      </c>
      <c r="H13" s="70" t="s">
        <v>210</v>
      </c>
      <c r="I13" s="70" t="s">
        <v>26</v>
      </c>
      <c r="J13" s="70" t="s">
        <v>27</v>
      </c>
      <c r="K13" s="70" t="s">
        <v>1536</v>
      </c>
      <c r="L13" s="70" t="s">
        <v>120</v>
      </c>
      <c r="M13" s="70" t="s">
        <v>211</v>
      </c>
      <c r="N13" s="68" t="s">
        <v>212</v>
      </c>
      <c r="O13" s="67" t="s">
        <v>213</v>
      </c>
      <c r="P13" s="67" t="s">
        <v>121</v>
      </c>
      <c r="Q13" s="67" t="s">
        <v>122</v>
      </c>
    </row>
    <row r="14" spans="1:17" ht="19.5" customHeight="1" x14ac:dyDescent="0.2">
      <c r="A14" s="72"/>
      <c r="B14" s="353" t="s">
        <v>1631</v>
      </c>
      <c r="C14" s="344"/>
      <c r="D14" s="344"/>
      <c r="E14" s="344"/>
      <c r="F14" s="344"/>
      <c r="G14" s="344"/>
      <c r="H14" s="344"/>
      <c r="I14" s="344"/>
      <c r="J14" s="344"/>
      <c r="K14" s="344"/>
      <c r="L14" s="344"/>
      <c r="M14" s="344"/>
      <c r="N14" s="344"/>
      <c r="O14" s="344"/>
      <c r="P14" s="344"/>
      <c r="Q14" s="72"/>
    </row>
    <row r="15" spans="1:17" ht="19.5" customHeight="1" x14ac:dyDescent="0.2">
      <c r="A15" s="72" t="s">
        <v>1638</v>
      </c>
      <c r="B15" s="69" t="s">
        <v>195</v>
      </c>
      <c r="C15" s="69">
        <v>55</v>
      </c>
      <c r="D15" s="69">
        <v>100</v>
      </c>
      <c r="E15" s="69" t="s">
        <v>97</v>
      </c>
      <c r="F15" s="69" t="s">
        <v>178</v>
      </c>
      <c r="G15" s="69">
        <v>1</v>
      </c>
      <c r="H15" s="73">
        <f>IFERROR(IF(B15="","",(C15/100)*(D15/100)),"")</f>
        <v>0.55000000000000004</v>
      </c>
      <c r="I15" s="74">
        <f>IFERROR(IF(B15="","",_xlfn.LET(_xlpm.tamano,IF(H15&lt;=0.5,"CHICO",IF(H15&lt;=1,"MEDIANO","GRANDE")),_xlpm.clave,B15&amp;"|"&amp;_xlpm.tamano,_xlpm.fila,MATCH(_xlpm.clave,COSTOS_M2!$H$5:$H$67,0),_xlpm.mat_m2,INDEX(IF(F15="HUANACAXTLE",COSTOS_M2!$D$5:$D$67,IF(F15="ENCINO",COSTOS_M2!$E$5:$E$67,COSTOS_M2!$F$5:$F$67)),_xlpm.fila),_xlpm.cons_m2,INDEX(COSTOS_M2!$G$5:$G$67,_xlpm.fila),_xlpm.prof_factor,IF(AND(E15&lt;&gt;"—",E15&lt;&gt;"",ISNUMBER(E15)),POWER(E15/40,1.8),1),_xlpm.total_m2,(_xlpm.mat_m2+_xlpm.cons_m2)*H15*_xlpm.prof_factor*IF(C15&gt;70,COSTOS_M2!$B$70,1)*IF(D15&gt;244,COSTOS_M2!$B$71,1),_xlpm.total_m2)),"")</f>
        <v>386.1</v>
      </c>
      <c r="J15" s="74">
        <f>IFERROR(IF(B15="","",INDEX(MANO_DE_OBRA!$P$10:$P$72,MATCH(B15&amp;"|"&amp;IF(H15&lt;=0.5,"CHICO",IF(H15&lt;=1,"MEDIANO","GRANDE")),MANO_DE_OBRA!$Q$10:$Q$72,0))),"")</f>
        <v>469.28723999999994</v>
      </c>
      <c r="K15" s="342">
        <f>IFERROR(IF(B15="","",_xlfn.LET(_xlpm.clave_prof,B15&amp;"|"&amp;E15,_xlpm.clave_todas,B15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5" s="75">
        <f>IFERROR(IF(B15="","",IF(I15="",0,I15)+IF(J15="",0,J15)+IF(K15="",0,K15)),"")</f>
        <v>855.38724000000002</v>
      </c>
      <c r="M15" s="75">
        <f>IFERROR(IF(L15="","",L15*$D$8),"")</f>
        <v>1069.23405</v>
      </c>
      <c r="N15" s="76">
        <f>IFERROR(IF(M15="","",CEILING(M15,50)),"")</f>
        <v>1100</v>
      </c>
      <c r="O15" s="77">
        <v>0</v>
      </c>
      <c r="P15" s="78">
        <f>IFERROR(IF(G15="","",G15*N15*(1-O15)),"")</f>
        <v>1100</v>
      </c>
      <c r="Q15" s="79"/>
    </row>
    <row r="16" spans="1:17" ht="19.5" customHeight="1" x14ac:dyDescent="0.2">
      <c r="A16" s="72" t="s">
        <v>1638</v>
      </c>
      <c r="B16" s="69" t="s">
        <v>195</v>
      </c>
      <c r="C16" s="69">
        <v>55</v>
      </c>
      <c r="D16" s="69">
        <v>175</v>
      </c>
      <c r="E16" s="69" t="s">
        <v>97</v>
      </c>
      <c r="F16" s="69" t="s">
        <v>178</v>
      </c>
      <c r="G16" s="69">
        <v>1</v>
      </c>
      <c r="H16" s="73">
        <f>IFERROR(IF(B16="","",(C16/100)*(D16/100)),"")</f>
        <v>0.96250000000000013</v>
      </c>
      <c r="I16" s="74">
        <f>IFERROR(IF(B16="","",_xlfn.LET(_xlpm.tamano,IF(H16&lt;=0.5,"CHICO",IF(H16&lt;=1,"MEDIANO","GRANDE")),_xlpm.clave,B16&amp;"|"&amp;_xlpm.tamano,_xlpm.fila,MATCH(_xlpm.clave,COSTOS_M2!$H$5:$H$67,0),_xlpm.mat_m2,INDEX(IF(F16="HUANACAXTLE",COSTOS_M2!$D$5:$D$67,IF(F16="ENCINO",COSTOS_M2!$E$5:$E$67,COSTOS_M2!$F$5:$F$67)),_xlpm.fila),_xlpm.cons_m2,INDEX(COSTOS_M2!$G$5:$G$67,_xlpm.fila),_xlpm.prof_factor,IF(AND(E16&lt;&gt;"—",E16&lt;&gt;"",ISNUMBER(E16)),POWER(E16/40,1.8),1),_xlpm.total_m2,(_xlpm.mat_m2+_xlpm.cons_m2)*H16*_xlpm.prof_factor*IF(C16&gt;70,COSTOS_M2!$B$70,1)*IF(D16&gt;244,COSTOS_M2!$B$71,1),_xlpm.total_m2)),"")</f>
        <v>675.67500000000007</v>
      </c>
      <c r="J16" s="74">
        <f>IFERROR(IF(B16="","",INDEX(MANO_DE_OBRA!$P$10:$P$72,MATCH(B16&amp;"|"&amp;IF(H16&lt;=0.5,"CHICO",IF(H16&lt;=1,"MEDIANO","GRANDE")),MANO_DE_OBRA!$Q$10:$Q$72,0))),"")</f>
        <v>469.28723999999994</v>
      </c>
      <c r="K16" s="342">
        <f>IFERROR(IF(B16="","",_xlfn.LET(_xlpm.clave_prof,B16&amp;"|"&amp;E16,_xlpm.clave_todas,B16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6" s="75">
        <f>IFERROR(IF(B16="","",IF(I16="",0,I16)+IF(J16="",0,J16)+IF(K16="",0,K16)),"")</f>
        <v>1144.9622400000001</v>
      </c>
      <c r="M16" s="75">
        <f>IFERROR(IF(L16="","",L16*$D$8),"")</f>
        <v>1431.2028</v>
      </c>
      <c r="N16" s="76">
        <f>IFERROR(IF(M16="","",CEILING(M16,50)),"")</f>
        <v>1450</v>
      </c>
      <c r="O16" s="77">
        <v>0</v>
      </c>
      <c r="P16" s="78">
        <f>IFERROR(IF(G16="","",G16*N16*(1-O16)),"")</f>
        <v>1450</v>
      </c>
      <c r="Q16" s="79"/>
    </row>
    <row r="17" spans="1:17" ht="19.5" customHeight="1" x14ac:dyDescent="0.2">
      <c r="A17" s="72" t="s">
        <v>1638</v>
      </c>
      <c r="B17" s="69" t="s">
        <v>196</v>
      </c>
      <c r="C17" s="69">
        <v>55</v>
      </c>
      <c r="D17" s="69">
        <v>100</v>
      </c>
      <c r="E17" s="69" t="s">
        <v>97</v>
      </c>
      <c r="F17" s="69" t="s">
        <v>178</v>
      </c>
      <c r="G17" s="69">
        <v>1</v>
      </c>
      <c r="H17" s="73">
        <f>IFERROR(IF(B17="","",(C17/100)*(D17/100)),"")</f>
        <v>0.55000000000000004</v>
      </c>
      <c r="I17" s="74">
        <f>IFERROR(IF(B17="","",_xlfn.LET(_xlpm.tamano,IF(H17&lt;=0.5,"CHICO",IF(H17&lt;=1,"MEDIANO","GRANDE")),_xlpm.clave,B17&amp;"|"&amp;_xlpm.tamano,_xlpm.fila,MATCH(_xlpm.clave,COSTOS_M2!$H$5:$H$67,0),_xlpm.mat_m2,INDEX(IF(F17="HUANACAXTLE",COSTOS_M2!$D$5:$D$67,IF(F17="ENCINO",COSTOS_M2!$E$5:$E$67,COSTOS_M2!$F$5:$F$67)),_xlpm.fila),_xlpm.cons_m2,INDEX(COSTOS_M2!$G$5:$G$67,_xlpm.fila),_xlpm.prof_factor,IF(AND(E17&lt;&gt;"—",E17&lt;&gt;"",ISNUMBER(E17)),POWER(E17/40,1.8),1),_xlpm.total_m2,(_xlpm.mat_m2+_xlpm.cons_m2)*H17*_xlpm.prof_factor*IF(C17&gt;70,COSTOS_M2!$B$70,1)*IF(D17&gt;244,COSTOS_M2!$B$71,1),_xlpm.total_m2)),"")</f>
        <v>459.8</v>
      </c>
      <c r="J17" s="74">
        <f>IFERROR(IF(B17="","",INDEX(MANO_DE_OBRA!$P$10:$P$72,MATCH(B17&amp;"|"&amp;IF(H17&lt;=0.5,"CHICO",IF(H17&lt;=1,"MEDIANO","GRANDE")),MANO_DE_OBRA!$Q$10:$Q$72,0))),"")</f>
        <v>520.05040499999996</v>
      </c>
      <c r="K17" s="342">
        <f>IFERROR(IF(B17="","",_xlfn.LET(_xlpm.clave_prof,B17&amp;"|"&amp;E17,_xlpm.clave_todas,B17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7" s="75">
        <f>IFERROR(IF(B17="","",IF(I17="",0,I17)+IF(J17="",0,J17)+IF(K17="",0,K17)),"")</f>
        <v>979.85040499999991</v>
      </c>
      <c r="M17" s="75">
        <f>IFERROR(IF(L17="","",L17*$D$8),"")</f>
        <v>1224.8130062499999</v>
      </c>
      <c r="N17" s="76">
        <f>IFERROR(IF(M17="","",CEILING(M17,50)),"")</f>
        <v>1250</v>
      </c>
      <c r="O17" s="77">
        <v>0</v>
      </c>
      <c r="P17" s="78">
        <f>IFERROR(IF(G17="","",G17*N17*(1-O17)),"")</f>
        <v>1250</v>
      </c>
      <c r="Q17" s="79"/>
    </row>
    <row r="18" spans="1:17" ht="19.5" customHeight="1" x14ac:dyDescent="0.2">
      <c r="A18" s="72" t="s">
        <v>1638</v>
      </c>
      <c r="B18" s="69" t="s">
        <v>196</v>
      </c>
      <c r="C18" s="69">
        <v>55</v>
      </c>
      <c r="D18" s="69">
        <v>175</v>
      </c>
      <c r="E18" s="69" t="s">
        <v>97</v>
      </c>
      <c r="F18" s="69" t="s">
        <v>178</v>
      </c>
      <c r="G18" s="69">
        <v>1</v>
      </c>
      <c r="H18" s="73">
        <f>IFERROR(IF(B18="","",(C18/100)*(D18/100)),"")</f>
        <v>0.96250000000000013</v>
      </c>
      <c r="I18" s="74">
        <f>IFERROR(IF(B18="","",_xlfn.LET(_xlpm.tamano,IF(H18&lt;=0.5,"CHICO",IF(H18&lt;=1,"MEDIANO","GRANDE")),_xlpm.clave,B18&amp;"|"&amp;_xlpm.tamano,_xlpm.fila,MATCH(_xlpm.clave,COSTOS_M2!$H$5:$H$67,0),_xlpm.mat_m2,INDEX(IF(F18="HUANACAXTLE",COSTOS_M2!$D$5:$D$67,IF(F18="ENCINO",COSTOS_M2!$E$5:$E$67,COSTOS_M2!$F$5:$F$67)),_xlpm.fila),_xlpm.cons_m2,INDEX(COSTOS_M2!$G$5:$G$67,_xlpm.fila),_xlpm.prof_factor,IF(AND(E18&lt;&gt;"—",E18&lt;&gt;"",ISNUMBER(E18)),POWER(E18/40,1.8),1),_xlpm.total_m2,(_xlpm.mat_m2+_xlpm.cons_m2)*H18*_xlpm.prof_factor*IF(C18&gt;70,COSTOS_M2!$B$70,1)*IF(D18&gt;244,COSTOS_M2!$B$71,1),_xlpm.total_m2)),"")</f>
        <v>804.65000000000009</v>
      </c>
      <c r="J18" s="74">
        <f>IFERROR(IF(B18="","",INDEX(MANO_DE_OBRA!$P$10:$P$72,MATCH(B18&amp;"|"&amp;IF(H18&lt;=0.5,"CHICO",IF(H18&lt;=1,"MEDIANO","GRANDE")),MANO_DE_OBRA!$Q$10:$Q$72,0))),"")</f>
        <v>520.05040499999996</v>
      </c>
      <c r="K18" s="342">
        <f>IFERROR(IF(B18="","",_xlfn.LET(_xlpm.clave_prof,B18&amp;"|"&amp;E18,_xlpm.clave_todas,B18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8" s="75">
        <f>IFERROR(IF(B18="","",IF(I18="",0,I18)+IF(J18="",0,J18)+IF(K18="",0,K18)),"")</f>
        <v>1324.700405</v>
      </c>
      <c r="M18" s="75">
        <f>IFERROR(IF(L18="","",L18*$D$8),"")</f>
        <v>1655.8755062499999</v>
      </c>
      <c r="N18" s="76">
        <f>IFERROR(IF(M18="","",CEILING(M18,50)),"")</f>
        <v>1700</v>
      </c>
      <c r="O18" s="77">
        <v>0</v>
      </c>
      <c r="P18" s="78">
        <f>IFERROR(IF(G18="","",G18*N18*(1-O18)),"")</f>
        <v>1700</v>
      </c>
      <c r="Q18" s="79"/>
    </row>
    <row r="19" spans="1:17" ht="19.5" customHeight="1" x14ac:dyDescent="0.2">
      <c r="A19" s="72" t="s">
        <v>1638</v>
      </c>
      <c r="B19" s="69" t="s">
        <v>192</v>
      </c>
      <c r="C19" s="69">
        <v>55</v>
      </c>
      <c r="D19" s="69">
        <v>295</v>
      </c>
      <c r="E19" s="69" t="s">
        <v>97</v>
      </c>
      <c r="F19" s="69" t="s">
        <v>178</v>
      </c>
      <c r="G19" s="69">
        <v>2</v>
      </c>
      <c r="H19" s="73">
        <f>IFERROR(IF(B19="","",(C19/100)*(D19/100)),"")</f>
        <v>1.6225000000000003</v>
      </c>
      <c r="I19" s="74">
        <f>IFERROR(IF(B19="","",_xlfn.LET(_xlpm.tamano,IF(H19&lt;=0.5,"CHICO",IF(H19&lt;=1,"MEDIANO","GRANDE")),_xlpm.clave,B19&amp;"|"&amp;_xlpm.tamano,_xlpm.fila,MATCH(_xlpm.clave,COSTOS_M2!$H$5:$H$67,0),_xlpm.mat_m2,INDEX(IF(F19="HUANACAXTLE",COSTOS_M2!$D$5:$D$67,IF(F19="ENCINO",COSTOS_M2!$E$5:$E$67,COSTOS_M2!$F$5:$F$67)),_xlpm.fila),_xlpm.cons_m2,INDEX(COSTOS_M2!$G$5:$G$67,_xlpm.fila),_xlpm.prof_factor,IF(AND(E19&lt;&gt;"—",E19&lt;&gt;"",ISNUMBER(E19)),POWER(E19/40,1.8),1),_xlpm.total_m2,(_xlpm.mat_m2+_xlpm.cons_m2)*H19*_xlpm.prof_factor*IF(C19&gt;70,COSTOS_M2!$B$70,1)*IF(D19&gt;244,COSTOS_M2!$B$71,1),_xlpm.total_m2)),"")</f>
        <v>1453.2732500000002</v>
      </c>
      <c r="J19" s="74">
        <f>IFERROR(IF(B19="","",INDEX(MANO_DE_OBRA!$P$10:$P$72,MATCH(B19&amp;"|"&amp;IF(H19&lt;=0.5,"CHICO",IF(H19&lt;=1,"MEDIANO","GRANDE")),MANO_DE_OBRA!$Q$10:$Q$72,0))),"")</f>
        <v>587.22913499999993</v>
      </c>
      <c r="K19" s="342">
        <f>IFERROR(IF(B19="","",_xlfn.LET(_xlpm.clave_prof,B19&amp;"|"&amp;E19,_xlpm.clave_todas,B19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9" s="75">
        <f>IFERROR(IF(B19="","",IF(I19="",0,I19)+IF(J19="",0,J19)+IF(K19="",0,K19)),"")</f>
        <v>2040.5023850000002</v>
      </c>
      <c r="M19" s="75">
        <f>IFERROR(IF(L19="","",L19*$D$8),"")</f>
        <v>2550.6279812500002</v>
      </c>
      <c r="N19" s="76">
        <f>IFERROR(IF(M19="","",CEILING(M19,50)),"")</f>
        <v>2600</v>
      </c>
      <c r="O19" s="77">
        <v>0</v>
      </c>
      <c r="P19" s="78">
        <f>IFERROR(IF(G19="","",G19*N19*(1-O19)),"")</f>
        <v>5200</v>
      </c>
      <c r="Q19" s="79"/>
    </row>
    <row r="20" spans="1:17" ht="19.5" customHeight="1" x14ac:dyDescent="0.2">
      <c r="A20" s="72" t="s">
        <v>1638</v>
      </c>
      <c r="B20" s="69" t="s">
        <v>1622</v>
      </c>
      <c r="C20" s="69">
        <v>55</v>
      </c>
      <c r="D20" s="69">
        <v>295</v>
      </c>
      <c r="E20" s="69" t="s">
        <v>97</v>
      </c>
      <c r="F20" s="69" t="s">
        <v>178</v>
      </c>
      <c r="G20" s="69">
        <v>2</v>
      </c>
      <c r="H20" s="73">
        <f>IFERROR(IF(B20="","",(C20/100)*(D20/100)),"")</f>
        <v>1.6225000000000003</v>
      </c>
      <c r="I20" s="74">
        <f>IFERROR(IF(B20="","",_xlfn.LET(_xlpm.tamano,IF(H20&lt;=0.5,"CHICO",IF(H20&lt;=1,"MEDIANO","GRANDE")),_xlpm.clave,B20&amp;"|"&amp;_xlpm.tamano,_xlpm.fila,MATCH(_xlpm.clave,COSTOS_M2!$H$5:$H$67,0),_xlpm.mat_m2,INDEX(IF(F20="HUANACAXTLE",COSTOS_M2!$D$5:$D$67,IF(F20="ENCINO",COSTOS_M2!$E$5:$E$67,COSTOS_M2!$F$5:$F$67)),_xlpm.fila),_xlpm.cons_m2,INDEX(COSTOS_M2!$G$5:$G$67,_xlpm.fila),_xlpm.prof_factor,IF(AND(E20&lt;&gt;"—",E20&lt;&gt;"",ISNUMBER(E20)),POWER(E20/40,1.8),1),_xlpm.total_m2,(_xlpm.mat_m2+_xlpm.cons_m2)*H20*_xlpm.prof_factor*IF(C20&gt;70,COSTOS_M2!$B$70,1)*IF(D20&gt;244,COSTOS_M2!$B$71,1),_xlpm.total_m2)),"")</f>
        <v>1571.3912500000004</v>
      </c>
      <c r="J20" s="74">
        <f>IFERROR(IF(B20="","",INDEX(MANO_DE_OBRA!$P$10:$P$72,MATCH(B20&amp;"|"&amp;IF(H20&lt;=0.5,"CHICO",IF(H20&lt;=1,"MEDIANO","GRANDE")),MANO_DE_OBRA!$Q$10:$Q$72,0))),"")</f>
        <v>725.19600000000003</v>
      </c>
      <c r="K20" s="342">
        <f>IFERROR(IF(B20="","",_xlfn.LET(_xlpm.clave_prof,B20&amp;"|"&amp;E20,_xlpm.clave_todas,B20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20" s="75">
        <f>IFERROR(IF(B20="","",IF(I20="",0,I20)+IF(J20="",0,J20)+IF(K20="",0,K20)),"")</f>
        <v>2296.5872500000005</v>
      </c>
      <c r="M20" s="75">
        <f>IFERROR(IF(L20="","",L20*$D$8),"")</f>
        <v>2870.7340625000006</v>
      </c>
      <c r="N20" s="76">
        <f>IFERROR(IF(M20="","",CEILING(M20,50)),"")</f>
        <v>2900</v>
      </c>
      <c r="O20" s="77">
        <v>0</v>
      </c>
      <c r="P20" s="78">
        <f>IFERROR(IF(G20="","",G20*N20*(1-O20)),"")</f>
        <v>5800</v>
      </c>
      <c r="Q20" s="79"/>
    </row>
    <row r="21" spans="1:17" ht="19.5" customHeight="1" x14ac:dyDescent="0.2">
      <c r="A21" s="72" t="s">
        <v>1638</v>
      </c>
      <c r="B21" s="69" t="s">
        <v>1614</v>
      </c>
      <c r="C21" s="69">
        <v>100</v>
      </c>
      <c r="D21" s="69">
        <v>55</v>
      </c>
      <c r="E21" s="69">
        <v>55</v>
      </c>
      <c r="F21" s="69" t="s">
        <v>178</v>
      </c>
      <c r="G21" s="69">
        <v>4</v>
      </c>
      <c r="H21" s="73">
        <f>IFERROR(IF(B21="","",(C21/100)*(D21/100)),"")</f>
        <v>0.55000000000000004</v>
      </c>
      <c r="I21" s="74">
        <f>IFERROR(IF(B21="","",_xlfn.LET(_xlpm.tamano,IF(H21&lt;=0.5,"CHICO",IF(H21&lt;=1,"MEDIANO","GRANDE")),_xlpm.clave,B21&amp;"|"&amp;_xlpm.tamano,_xlpm.fila,MATCH(_xlpm.clave,COSTOS_M2!$H$5:$H$67,0),_xlpm.mat_m2,INDEX(IF(F21="HUANACAXTLE",COSTOS_M2!$D$5:$D$67,IF(F21="ENCINO",COSTOS_M2!$E$5:$E$67,COSTOS_M2!$F$5:$F$67)),_xlpm.fila),_xlpm.cons_m2,INDEX(COSTOS_M2!$G$5:$G$67,_xlpm.fila),_xlpm.prof_factor,IF(AND(E21&lt;&gt;"—",E21&lt;&gt;"",ISNUMBER(E21)),POWER(E21/40,1.8),1),_xlpm.total_m2,(_xlpm.mat_m2+_xlpm.cons_m2)*H21*_xlpm.prof_factor*IF(C21&gt;70,COSTOS_M2!$B$70,1)*IF(D21&gt;244,COSTOS_M2!$B$71,1),_xlpm.total_m2)),"")</f>
        <v>738.19973193067108</v>
      </c>
      <c r="J21" s="74">
        <f>IFERROR(IF(B21="","",INDEX(MANO_DE_OBRA!$P$10:$P$72,MATCH(B21&amp;"|"&amp;IF(H21&lt;=0.5,"CHICO",IF(H21&lt;=1,"MEDIANO","GRANDE")),MANO_DE_OBRA!$Q$10:$Q$72,0))),"")</f>
        <v>410.25956399999995</v>
      </c>
      <c r="K21" s="342">
        <f>IFERROR(IF(B21="","",_xlfn.LET(_xlpm.clave_prof,B21&amp;"|"&amp;E21,_xlpm.clave_todas,B21&amp;"|TODAS",_xlpm.herr_prof,SUMIFS(HERRAJES!$H$5:$H$36,HERRAJES!$J$5:$J$36,_xlpm.clave_prof),_xlpm.herr_todas,SUMIFS(HERRAJES!$H$5:$H$36,HERRAJES!$J$5:$J$36,_xlpm.clave_todas),IF(_xlpm.herr_prof&gt;0,_xlpm.herr_prof,_xlpm.herr_todas))),"")</f>
        <v>50.52</v>
      </c>
      <c r="L21" s="75">
        <f>IFERROR(IF(B21="","",IF(I21="",0,I21)+IF(J21="",0,J21)+IF(K21="",0,K21)),"")</f>
        <v>1198.979295930671</v>
      </c>
      <c r="M21" s="75">
        <f>IFERROR(IF(L21="","",L21*$D$8),"")</f>
        <v>1498.7241199133387</v>
      </c>
      <c r="N21" s="76">
        <f>IFERROR(IF(M21="","",CEILING(M21,50)),"")</f>
        <v>1500</v>
      </c>
      <c r="O21" s="77">
        <v>0</v>
      </c>
      <c r="P21" s="78">
        <f>IFERROR(IF(G21="","",G21*N21*(1-O21)),"")</f>
        <v>6000</v>
      </c>
      <c r="Q21" s="79"/>
    </row>
    <row r="22" spans="1:17" ht="19.5" customHeight="1" x14ac:dyDescent="0.2">
      <c r="A22" s="72" t="s">
        <v>1638</v>
      </c>
      <c r="B22" s="69" t="s">
        <v>1623</v>
      </c>
      <c r="C22" s="69">
        <v>55</v>
      </c>
      <c r="D22" s="69">
        <v>100</v>
      </c>
      <c r="E22" s="69" t="s">
        <v>97</v>
      </c>
      <c r="F22" s="69" t="s">
        <v>178</v>
      </c>
      <c r="G22" s="69">
        <v>2</v>
      </c>
      <c r="H22" s="73">
        <f>IFERROR(IF(B22="","",(C22/100)*(D22/100)),"")</f>
        <v>0.55000000000000004</v>
      </c>
      <c r="I22" s="74">
        <f>IFERROR(IF(B22="","",_xlfn.LET(_xlpm.tamano,IF(H22&lt;=0.5,"CHICO",IF(H22&lt;=1,"MEDIANO","GRANDE")),_xlpm.clave,B22&amp;"|"&amp;_xlpm.tamano,_xlpm.fila,MATCH(_xlpm.clave,COSTOS_M2!$H$5:$H$67,0),_xlpm.mat_m2,INDEX(IF(F22="HUANACAXTLE",COSTOS_M2!$D$5:$D$67,IF(F22="ENCINO",COSTOS_M2!$E$5:$E$67,COSTOS_M2!$F$5:$F$67)),_xlpm.fila),_xlpm.cons_m2,INDEX(COSTOS_M2!$G$5:$G$67,_xlpm.fila),_xlpm.prof_factor,IF(AND(E22&lt;&gt;"—",E22&lt;&gt;"",ISNUMBER(E22)),POWER(E22/40,1.8),1),_xlpm.total_m2,(_xlpm.mat_m2+_xlpm.cons_m2)*H22*_xlpm.prof_factor*IF(C22&gt;70,COSTOS_M2!$B$70,1)*IF(D22&gt;244,COSTOS_M2!$B$71,1),_xlpm.total_m2)),"")</f>
        <v>431.75000000000006</v>
      </c>
      <c r="J22" s="74">
        <f>IFERROR(IF(B22="","",INDEX(MANO_DE_OBRA!$P$10:$P$72,MATCH(B22&amp;"|"&amp;IF(H22&lt;=0.5,"CHICO",IF(H22&lt;=1,"MEDIANO","GRANDE")),MANO_DE_OBRA!$Q$10:$Q$72,0))),"")</f>
        <v>400.55880000000002</v>
      </c>
      <c r="K22" s="342">
        <f>IFERROR(IF(B22="","",_xlfn.LET(_xlpm.clave_prof,B22&amp;"|"&amp;E22,_xlpm.clave_todas,B22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22" s="75">
        <f>IFERROR(IF(B22="","",IF(I22="",0,I22)+IF(J22="",0,J22)+IF(K22="",0,K22)),"")</f>
        <v>832.30880000000002</v>
      </c>
      <c r="M22" s="75">
        <f>IFERROR(IF(L22="","",L22*$D$8),"")</f>
        <v>1040.386</v>
      </c>
      <c r="N22" s="76">
        <f>IFERROR(IF(M22="","",CEILING(M22,50)),"")</f>
        <v>1050</v>
      </c>
      <c r="O22" s="77">
        <v>0</v>
      </c>
      <c r="P22" s="78">
        <f>IFERROR(IF(G22="","",G22*N22*(1-O22)),"")</f>
        <v>2100</v>
      </c>
      <c r="Q22" s="79"/>
    </row>
    <row r="23" spans="1:17" ht="19.5" customHeight="1" x14ac:dyDescent="0.2">
      <c r="A23" s="72" t="s">
        <v>1638</v>
      </c>
      <c r="B23" s="69" t="s">
        <v>1623</v>
      </c>
      <c r="C23" s="69">
        <v>55</v>
      </c>
      <c r="D23" s="69">
        <v>71</v>
      </c>
      <c r="E23" s="69" t="s">
        <v>97</v>
      </c>
      <c r="F23" s="69" t="s">
        <v>178</v>
      </c>
      <c r="G23" s="69">
        <v>6</v>
      </c>
      <c r="H23" s="73">
        <f>IFERROR(IF(B23="","",(C23/100)*(D23/100)),"")</f>
        <v>0.39050000000000001</v>
      </c>
      <c r="I23" s="74">
        <f>IFERROR(IF(B23="","",_xlfn.LET(_xlpm.tamano,IF(H23&lt;=0.5,"CHICO",IF(H23&lt;=1,"MEDIANO","GRANDE")),_xlpm.clave,B23&amp;"|"&amp;_xlpm.tamano,_xlpm.fila,MATCH(_xlpm.clave,COSTOS_M2!$H$5:$H$67,0),_xlpm.mat_m2,INDEX(IF(F23="HUANACAXTLE",COSTOS_M2!$D$5:$D$67,IF(F23="ENCINO",COSTOS_M2!$E$5:$E$67,COSTOS_M2!$F$5:$F$67)),_xlpm.fila),_xlpm.cons_m2,INDEX(COSTOS_M2!$G$5:$G$67,_xlpm.fila),_xlpm.prof_factor,IF(AND(E23&lt;&gt;"—",E23&lt;&gt;"",ISNUMBER(E23)),POWER(E23/40,1.8),1),_xlpm.total_m2,(_xlpm.mat_m2+_xlpm.cons_m2)*H23*_xlpm.prof_factor*IF(C23&gt;70,COSTOS_M2!$B$70,1)*IF(D23&gt;244,COSTOS_M2!$B$71,1),_xlpm.total_m2)),"")</f>
        <v>326.0675</v>
      </c>
      <c r="J23" s="74">
        <f>IFERROR(IF(B23="","",INDEX(MANO_DE_OBRA!$P$10:$P$72,MATCH(B23&amp;"|"&amp;IF(H23&lt;=0.5,"CHICO",IF(H23&lt;=1,"MEDIANO","GRANDE")),MANO_DE_OBRA!$Q$10:$Q$72,0))),"")</f>
        <v>265.80149999999998</v>
      </c>
      <c r="K23" s="342">
        <f>IFERROR(IF(B23="","",_xlfn.LET(_xlpm.clave_prof,B23&amp;"|"&amp;E23,_xlpm.clave_todas,B23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23" s="75">
        <f>IFERROR(IF(B23="","",IF(I23="",0,I23)+IF(J23="",0,J23)+IF(K23="",0,K23)),"")</f>
        <v>591.86899999999991</v>
      </c>
      <c r="M23" s="75">
        <f>IFERROR(IF(L23="","",L23*$D$8),"")</f>
        <v>739.83624999999984</v>
      </c>
      <c r="N23" s="76">
        <f>IFERROR(IF(M23="","",CEILING(M23,50)),"")</f>
        <v>750</v>
      </c>
      <c r="O23" s="77">
        <v>0</v>
      </c>
      <c r="P23" s="78">
        <f>IFERROR(IF(G23="","",G23*N23*(1-O23)),"")</f>
        <v>4500</v>
      </c>
      <c r="Q23" s="79"/>
    </row>
    <row r="24" spans="1:17" ht="19.5" customHeight="1" x14ac:dyDescent="0.2">
      <c r="A24" s="72" t="s">
        <v>1638</v>
      </c>
      <c r="B24" s="69" t="s">
        <v>199</v>
      </c>
      <c r="C24" s="69">
        <v>71</v>
      </c>
      <c r="D24" s="69">
        <v>22</v>
      </c>
      <c r="E24" s="69">
        <v>55</v>
      </c>
      <c r="F24" s="69" t="s">
        <v>178</v>
      </c>
      <c r="G24" s="69">
        <v>4</v>
      </c>
      <c r="H24" s="73">
        <f>IFERROR(IF(B24="","",(C24/100)*(D24/100)),"")</f>
        <v>0.15620000000000001</v>
      </c>
      <c r="I24" s="74">
        <f>IFERROR(IF(B24="","",_xlfn.LET(_xlpm.tamano,IF(H24&lt;=0.5,"CHICO",IF(H24&lt;=1,"MEDIANO","GRANDE")),_xlpm.clave,B24&amp;"|"&amp;_xlpm.tamano,_xlpm.fila,MATCH(_xlpm.clave,COSTOS_M2!$H$5:$H$67,0),_xlpm.mat_m2,INDEX(IF(F24="HUANACAXTLE",COSTOS_M2!$D$5:$D$67,IF(F24="ENCINO",COSTOS_M2!$E$5:$E$67,COSTOS_M2!$F$5:$F$67)),_xlpm.fila),_xlpm.cons_m2,INDEX(COSTOS_M2!$G$5:$G$67,_xlpm.fila),_xlpm.prof_factor,IF(AND(E24&lt;&gt;"—",E24&lt;&gt;"",ISNUMBER(E24)),POWER(E24/40,1.8),1),_xlpm.total_m2,(_xlpm.mat_m2+_xlpm.cons_m2)*H24*_xlpm.prof_factor*IF(C24&gt;70,COSTOS_M2!$B$70,1)*IF(D24&gt;244,COSTOS_M2!$B$71,1),_xlpm.total_m2)),"")</f>
        <v>479.09416279184376</v>
      </c>
      <c r="J24" s="74">
        <f>IFERROR(IF(B24="","",INDEX(MANO_DE_OBRA!$P$10:$P$72,MATCH(B24&amp;"|"&amp;IF(H24&lt;=0.5,"CHICO",IF(H24&lt;=1,"MEDIANO","GRANDE")),MANO_DE_OBRA!$Q$10:$Q$72,0))),"")</f>
        <v>434.36213400000003</v>
      </c>
      <c r="K24" s="342">
        <f>IFERROR(IF(B24="","",_xlfn.LET(_xlpm.clave_prof,B24&amp;"|"&amp;E24,_xlpm.clave_todas,B24&amp;"|TODAS",_xlpm.herr_prof,SUMIFS(HERRAJES!$H$5:$H$36,HERRAJES!$J$5:$J$36,_xlpm.clave_prof),_xlpm.herr_todas,SUMIFS(HERRAJES!$H$5:$H$36,HERRAJES!$J$5:$J$36,_xlpm.clave_todas),IF(_xlpm.herr_prof&gt;0,_xlpm.herr_prof,_xlpm.herr_todas))),"")</f>
        <v>50.52</v>
      </c>
      <c r="L24" s="75">
        <f>IFERROR(IF(B24="","",IF(I24="",0,I24)+IF(J24="",0,J24)+IF(K24="",0,K24)),"")</f>
        <v>963.97629679184377</v>
      </c>
      <c r="M24" s="75">
        <f>IFERROR(IF(L24="","",L24*$D$8),"")</f>
        <v>1204.9703709898047</v>
      </c>
      <c r="N24" s="76">
        <f>IFERROR(IF(M24="","",CEILING(M24,50)),"")</f>
        <v>1250</v>
      </c>
      <c r="O24" s="77">
        <v>0</v>
      </c>
      <c r="P24" s="78">
        <f>IFERROR(IF(G24="","",G24*N24*(1-O24)),"")</f>
        <v>5000</v>
      </c>
      <c r="Q24" s="79"/>
    </row>
    <row r="25" spans="1:17" ht="19.5" customHeight="1" x14ac:dyDescent="0.2">
      <c r="A25" s="72" t="s">
        <v>1638</v>
      </c>
      <c r="B25" s="69" t="s">
        <v>203</v>
      </c>
      <c r="C25" s="69" t="s">
        <v>205</v>
      </c>
      <c r="D25" s="69">
        <v>100</v>
      </c>
      <c r="E25" s="69" t="s">
        <v>97</v>
      </c>
      <c r="F25" s="69" t="s">
        <v>178</v>
      </c>
      <c r="G25" s="69">
        <v>4</v>
      </c>
      <c r="H25" s="73" t="str">
        <f>IFERROR(IF(B25="","",(C25/100)*(D25/100)),"")</f>
        <v/>
      </c>
      <c r="I25" s="74" t="str">
        <f>IFERROR(IF(B25="","",_xlfn.LET(_xlpm.tamano,IF(H25&lt;=0.5,"CHICO",IF(H25&lt;=1,"MEDIANO","GRANDE")),_xlpm.clave,B25&amp;"|"&amp;_xlpm.tamano,_xlpm.fila,MATCH(_xlpm.clave,COSTOS_M2!$H$5:$H$67,0),_xlpm.mat_m2,INDEX(IF(F25="HUANACAXTLE",COSTOS_M2!$D$5:$D$67,IF(F25="ENCINO",COSTOS_M2!$E$5:$E$67,COSTOS_M2!$F$5:$F$67)),_xlpm.fila),_xlpm.cons_m2,INDEX(COSTOS_M2!$G$5:$G$67,_xlpm.fila),_xlpm.prof_factor,IF(AND(E25&lt;&gt;"—",E25&lt;&gt;"",ISNUMBER(E25)),POWER(E25/40,1.8),1),_xlpm.total_m2,(_xlpm.mat_m2+_xlpm.cons_m2)*H25*_xlpm.prof_factor*IF(C25&gt;70,COSTOS_M2!$B$70,1)*IF(D25&gt;244,COSTOS_M2!$B$71,1),_xlpm.total_m2)),"")</f>
        <v/>
      </c>
      <c r="J25" s="74">
        <f>IFERROR(IF(B25="","",INDEX(MANO_DE_OBRA!$P$10:$P$72,MATCH(B25&amp;"|"&amp;IF(H25&lt;=0.5,"CHICO",IF(H25&lt;=1,"MEDIANO","GRANDE")),MANO_DE_OBRA!$Q$10:$Q$72,0))),"")</f>
        <v>25.592999999999996</v>
      </c>
      <c r="K25" s="342">
        <f>IFERROR(IF(B25="","",_xlfn.LET(_xlpm.clave_prof,B25&amp;"|"&amp;E25,_xlpm.clave_todas,B25&amp;"|TODAS",_xlpm.herr_prof,SUMIFS(HERRAJES!$H$5:$H$36,HERRAJES!$J$5:$J$36,_xlpm.clave_prof),_xlpm.herr_todas,SUMIFS(HERRAJES!$H$5:$H$36,HERRAJES!$J$5:$J$36,_xlpm.clave_todas),IF(_xlpm.herr_prof&gt;0,_xlpm.herr_prof,_xlpm.herr_todas))),"")</f>
        <v>2.74</v>
      </c>
      <c r="L25" s="75">
        <f>IFERROR(IF(B25="","",IF(I25="",0,I25)+IF(J25="",0,J25)+IF(K25="",0,K25)),"")</f>
        <v>28.332999999999998</v>
      </c>
      <c r="M25" s="75">
        <f>IFERROR(IF(L25="","",L25*$D$8),"")</f>
        <v>35.416249999999998</v>
      </c>
      <c r="N25" s="76">
        <f>IFERROR(IF(M25="","",CEILING(M25,50)),"")</f>
        <v>50</v>
      </c>
      <c r="O25" s="77">
        <v>0</v>
      </c>
      <c r="P25" s="78">
        <f>IFERROR(IF(G25="","",G25*N25*(1-O25)),"")</f>
        <v>200</v>
      </c>
      <c r="Q25" s="79"/>
    </row>
    <row r="26" spans="1:17" ht="19.5" customHeight="1" x14ac:dyDescent="0.2">
      <c r="A26" s="72" t="s">
        <v>1638</v>
      </c>
      <c r="B26" s="69" t="s">
        <v>1628</v>
      </c>
      <c r="C26" s="69">
        <v>275</v>
      </c>
      <c r="D26" s="69">
        <v>305</v>
      </c>
      <c r="E26" s="69" t="s">
        <v>97</v>
      </c>
      <c r="F26" s="69" t="s">
        <v>178</v>
      </c>
      <c r="G26" s="69">
        <v>1</v>
      </c>
      <c r="H26" s="73">
        <f>IFERROR(IF(B26="","",(C26/100)*(D26/100)),"")</f>
        <v>8.3874999999999993</v>
      </c>
      <c r="I26" s="74">
        <f>IFERROR(IF(B26="","",_xlfn.LET(_xlpm.tamano,IF(H26&lt;=0.5,"CHICO",IF(H26&lt;=1,"MEDIANO","GRANDE")),_xlpm.clave,B26&amp;"|"&amp;_xlpm.tamano,_xlpm.fila,MATCH(_xlpm.clave,COSTOS_M2!$H$5:$H$67,0),_xlpm.mat_m2,INDEX(IF(F26="HUANACAXTLE",COSTOS_M2!$D$5:$D$67,IF(F26="ENCINO",COSTOS_M2!$E$5:$E$67,COSTOS_M2!$F$5:$F$67)),_xlpm.fila),_xlpm.cons_m2,INDEX(COSTOS_M2!$G$5:$G$67,_xlpm.fila),_xlpm.prof_factor,IF(AND(E26&lt;&gt;"—",E26&lt;&gt;"",ISNUMBER(E26)),POWER(E26/40,1.8),1),_xlpm.total_m2,(_xlpm.mat_m2+_xlpm.cons_m2)*H26*_xlpm.prof_factor*IF(C26&gt;70,COSTOS_M2!$B$70,1)*IF(D26&gt;244,COSTOS_M2!$B$71,1),_xlpm.total_m2)),"")</f>
        <v>3331.0956249999999</v>
      </c>
      <c r="J26" s="74">
        <f>IFERROR(IF(B26="","",INDEX(MANO_DE_OBRA!$P$10:$P$72,MATCH(B26&amp;"|"&amp;IF(H26&lt;=0.5,"CHICO",IF(H26&lt;=1,"MEDIANO","GRANDE")),MANO_DE_OBRA!$Q$10:$Q$72,0))),"")</f>
        <v>295.7955</v>
      </c>
      <c r="K26" s="342">
        <f>IFERROR(IF(B26="","",_xlfn.LET(_xlpm.clave_prof,B26&amp;"|"&amp;E26,_xlpm.clave_todas,B26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26" s="75">
        <f>IFERROR(IF(B26="","",IF(I26="",0,I26)+IF(J26="",0,J26)+IF(K26="",0,K26)),"")</f>
        <v>3626.8911250000001</v>
      </c>
      <c r="M26" s="75">
        <f>IFERROR(IF(L26="","",L26*$D$8),"")</f>
        <v>4533.6139062500006</v>
      </c>
      <c r="N26" s="76">
        <f>IFERROR(IF(M26="","",CEILING(M26,50)),"")</f>
        <v>4550</v>
      </c>
      <c r="O26" s="77">
        <v>0</v>
      </c>
      <c r="P26" s="78">
        <f>IFERROR(IF(G26="","",G26*N26*(1-O26)),"")</f>
        <v>4550</v>
      </c>
      <c r="Q26" s="79"/>
    </row>
    <row r="27" spans="1:17" ht="19.5" customHeight="1" x14ac:dyDescent="0.2">
      <c r="A27" s="72" t="s">
        <v>1638</v>
      </c>
      <c r="B27" s="69" t="s">
        <v>1626</v>
      </c>
      <c r="C27" s="69">
        <v>5</v>
      </c>
      <c r="D27" s="69">
        <v>550</v>
      </c>
      <c r="E27" s="69" t="s">
        <v>97</v>
      </c>
      <c r="F27" s="69" t="s">
        <v>178</v>
      </c>
      <c r="G27" s="69">
        <v>1</v>
      </c>
      <c r="H27" s="73">
        <f>IFERROR(IF(B27="","",(C27/100)*(D27/100)),"")</f>
        <v>0.27500000000000002</v>
      </c>
      <c r="I27" s="74">
        <f>IFERROR(IF(B27="","",_xlfn.LET(_xlpm.tamano,IF(H27&lt;=0.5,"CHICO",IF(H27&lt;=1,"MEDIANO","GRANDE")),_xlpm.clave,B27&amp;"|"&amp;_xlpm.tamano,_xlpm.fila,MATCH(_xlpm.clave,COSTOS_M2!$H$5:$H$67,0),_xlpm.mat_m2,INDEX(IF(F27="HUANACAXTLE",COSTOS_M2!$D$5:$D$67,IF(F27="ENCINO",COSTOS_M2!$E$5:$E$67,COSTOS_M2!$F$5:$F$67)),_xlpm.fila),_xlpm.cons_m2,INDEX(COSTOS_M2!$G$5:$G$67,_xlpm.fila),_xlpm.prof_factor,IF(AND(E27&lt;&gt;"—",E27&lt;&gt;"",ISNUMBER(E27)),POWER(E27/40,1.8),1),_xlpm.total_m2,(_xlpm.mat_m2+_xlpm.cons_m2)*H27*_xlpm.prof_factor*IF(C27&gt;70,COSTOS_M2!$B$70,1)*IF(D27&gt;244,COSTOS_M2!$B$71,1),_xlpm.total_m2)),"")</f>
        <v>1841.1250000000005</v>
      </c>
      <c r="J27" s="74">
        <f>IFERROR(IF(B27="","",INDEX(MANO_DE_OBRA!$P$10:$P$72,MATCH(B27&amp;"|"&amp;IF(H27&lt;=0.5,"CHICO",IF(H27&lt;=1,"MEDIANO","GRANDE")),MANO_DE_OBRA!$Q$10:$Q$72,0))),"")</f>
        <v>477.459</v>
      </c>
      <c r="K27" s="342">
        <f>IFERROR(IF(B27="","",_xlfn.LET(_xlpm.clave_prof,B27&amp;"|"&amp;E27,_xlpm.clave_todas,B27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27" s="75">
        <f>IFERROR(IF(B27="","",IF(I27="",0,I27)+IF(J27="",0,J27)+IF(K27="",0,K27)),"")</f>
        <v>2318.5840000000003</v>
      </c>
      <c r="M27" s="75">
        <f>IFERROR(IF(L27="","",L27*$D$8),"")</f>
        <v>2898.2300000000005</v>
      </c>
      <c r="N27" s="76">
        <f>IFERROR(IF(M27="","",CEILING(M27,50)),"")</f>
        <v>2900</v>
      </c>
      <c r="O27" s="77">
        <v>0</v>
      </c>
      <c r="P27" s="78">
        <f>IFERROR(IF(G27="","",G27*N27*(1-O27)),"")</f>
        <v>2900</v>
      </c>
      <c r="Q27" s="79"/>
    </row>
    <row r="28" spans="1:17" ht="19.5" customHeight="1" x14ac:dyDescent="0.2">
      <c r="A28" s="72" t="s">
        <v>1639</v>
      </c>
      <c r="B28" s="69" t="s">
        <v>195</v>
      </c>
      <c r="C28" s="69">
        <v>55</v>
      </c>
      <c r="D28" s="69">
        <v>195</v>
      </c>
      <c r="E28" s="69" t="s">
        <v>97</v>
      </c>
      <c r="F28" s="69" t="s">
        <v>178</v>
      </c>
      <c r="G28" s="69">
        <v>1</v>
      </c>
      <c r="H28" s="73">
        <f>IFERROR(IF(B28="","",(C28/100)*(D28/100)),"")</f>
        <v>1.0725</v>
      </c>
      <c r="I28" s="74">
        <f>IFERROR(IF(B28="","",_xlfn.LET(_xlpm.tamano,IF(H28&lt;=0.5,"CHICO",IF(H28&lt;=1,"MEDIANO","GRANDE")),_xlpm.clave,B28&amp;"|"&amp;_xlpm.tamano,_xlpm.fila,MATCH(_xlpm.clave,COSTOS_M2!$H$5:$H$67,0),_xlpm.mat_m2,INDEX(IF(F28="HUANACAXTLE",COSTOS_M2!$D$5:$D$67,IF(F28="ENCINO",COSTOS_M2!$E$5:$E$67,COSTOS_M2!$F$5:$F$67)),_xlpm.fila),_xlpm.cons_m2,INDEX(COSTOS_M2!$G$5:$G$67,_xlpm.fila),_xlpm.prof_factor,IF(AND(E28&lt;&gt;"—",E28&lt;&gt;"",ISNUMBER(E28)),POWER(E28/40,1.8),1),_xlpm.total_m2,(_xlpm.mat_m2+_xlpm.cons_m2)*H28*_xlpm.prof_factor*IF(C28&gt;70,COSTOS_M2!$B$70,1)*IF(D28&gt;244,COSTOS_M2!$B$71,1),_xlpm.total_m2)),"")</f>
        <v>721.79250000000002</v>
      </c>
      <c r="J28" s="74">
        <f>IFERROR(IF(B28="","",INDEX(MANO_DE_OBRA!$P$10:$P$72,MATCH(B28&amp;"|"&amp;IF(H28&lt;=0.5,"CHICO",IF(H28&lt;=1,"MEDIANO","GRANDE")),MANO_DE_OBRA!$Q$10:$Q$72,0))),"")</f>
        <v>614.34549000000015</v>
      </c>
      <c r="K28" s="342">
        <f>IFERROR(IF(B28="","",_xlfn.LET(_xlpm.clave_prof,B28&amp;"|"&amp;E28,_xlpm.clave_todas,B28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28" s="75">
        <f>IFERROR(IF(B28="","",IF(I28="",0,I28)+IF(J28="",0,J28)+IF(K28="",0,K28)),"")</f>
        <v>1336.1379900000002</v>
      </c>
      <c r="M28" s="75">
        <f>IFERROR(IF(L28="","",L28*$D$8),"")</f>
        <v>1670.1724875000002</v>
      </c>
      <c r="N28" s="76">
        <f>IFERROR(IF(M28="","",CEILING(M28,50)),"")</f>
        <v>1700</v>
      </c>
      <c r="O28" s="77">
        <v>0</v>
      </c>
      <c r="P28" s="78">
        <f>IFERROR(IF(G28="","",G28*N28*(1-O28)),"")</f>
        <v>1700</v>
      </c>
      <c r="Q28" s="79"/>
    </row>
    <row r="29" spans="1:17" ht="19.5" customHeight="1" x14ac:dyDescent="0.2">
      <c r="A29" s="72" t="s">
        <v>1639</v>
      </c>
      <c r="B29" s="69" t="s">
        <v>196</v>
      </c>
      <c r="C29" s="69">
        <v>55</v>
      </c>
      <c r="D29" s="69">
        <v>195</v>
      </c>
      <c r="E29" s="69" t="s">
        <v>97</v>
      </c>
      <c r="F29" s="69" t="s">
        <v>178</v>
      </c>
      <c r="G29" s="69">
        <v>1</v>
      </c>
      <c r="H29" s="73">
        <f>IFERROR(IF(B29="","",(C29/100)*(D29/100)),"")</f>
        <v>1.0725</v>
      </c>
      <c r="I29" s="74">
        <f>IFERROR(IF(B29="","",_xlfn.LET(_xlpm.tamano,IF(H29&lt;=0.5,"CHICO",IF(H29&lt;=1,"MEDIANO","GRANDE")),_xlpm.clave,B29&amp;"|"&amp;_xlpm.tamano,_xlpm.fila,MATCH(_xlpm.clave,COSTOS_M2!$H$5:$H$67,0),_xlpm.mat_m2,INDEX(IF(F29="HUANACAXTLE",COSTOS_M2!$D$5:$D$67,IF(F29="ENCINO",COSTOS_M2!$E$5:$E$67,COSTOS_M2!$F$5:$F$67)),_xlpm.fila),_xlpm.cons_m2,INDEX(COSTOS_M2!$G$5:$G$67,_xlpm.fila),_xlpm.prof_factor,IF(AND(E29&lt;&gt;"—",E29&lt;&gt;"",ISNUMBER(E29)),POWER(E29/40,1.8),1),_xlpm.total_m2,(_xlpm.mat_m2+_xlpm.cons_m2)*H29*_xlpm.prof_factor*IF(C29&gt;70,COSTOS_M2!$B$70,1)*IF(D29&gt;244,COSTOS_M2!$B$71,1),_xlpm.total_m2)),"")</f>
        <v>866.58</v>
      </c>
      <c r="J29" s="74">
        <f>IFERROR(IF(B29="","",INDEX(MANO_DE_OBRA!$P$10:$P$72,MATCH(B29&amp;"|"&amp;IF(H29&lt;=0.5,"CHICO",IF(H29&lt;=1,"MEDIANO","GRANDE")),MANO_DE_OBRA!$Q$10:$Q$72,0))),"")</f>
        <v>762.95904000000007</v>
      </c>
      <c r="K29" s="342">
        <f>IFERROR(IF(B29="","",_xlfn.LET(_xlpm.clave_prof,B29&amp;"|"&amp;E29,_xlpm.clave_todas,B29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29" s="75">
        <f>IFERROR(IF(B29="","",IF(I29="",0,I29)+IF(J29="",0,J29)+IF(K29="",0,K29)),"")</f>
        <v>1629.5390400000001</v>
      </c>
      <c r="M29" s="75">
        <f>IFERROR(IF(L29="","",L29*$D$8),"")</f>
        <v>2036.9238</v>
      </c>
      <c r="N29" s="76">
        <f>IFERROR(IF(M29="","",CEILING(M29,50)),"")</f>
        <v>2050</v>
      </c>
      <c r="O29" s="77">
        <v>0</v>
      </c>
      <c r="P29" s="78">
        <f>IFERROR(IF(G29="","",G29*N29*(1-O29)),"")</f>
        <v>2050</v>
      </c>
      <c r="Q29" s="79"/>
    </row>
    <row r="30" spans="1:17" ht="19.5" customHeight="1" x14ac:dyDescent="0.2">
      <c r="A30" s="72" t="s">
        <v>1639</v>
      </c>
      <c r="B30" s="69" t="s">
        <v>192</v>
      </c>
      <c r="C30" s="69">
        <v>55</v>
      </c>
      <c r="D30" s="69">
        <v>295</v>
      </c>
      <c r="E30" s="69" t="s">
        <v>97</v>
      </c>
      <c r="F30" s="69" t="s">
        <v>178</v>
      </c>
      <c r="G30" s="69">
        <v>1</v>
      </c>
      <c r="H30" s="73">
        <f>IFERROR(IF(B30="","",(C30/100)*(D30/100)),"")</f>
        <v>1.6225000000000003</v>
      </c>
      <c r="I30" s="74">
        <f>IFERROR(IF(B30="","",_xlfn.LET(_xlpm.tamano,IF(H30&lt;=0.5,"CHICO",IF(H30&lt;=1,"MEDIANO","GRANDE")),_xlpm.clave,B30&amp;"|"&amp;_xlpm.tamano,_xlpm.fila,MATCH(_xlpm.clave,COSTOS_M2!$H$5:$H$67,0),_xlpm.mat_m2,INDEX(IF(F30="HUANACAXTLE",COSTOS_M2!$D$5:$D$67,IF(F30="ENCINO",COSTOS_M2!$E$5:$E$67,COSTOS_M2!$F$5:$F$67)),_xlpm.fila),_xlpm.cons_m2,INDEX(COSTOS_M2!$G$5:$G$67,_xlpm.fila),_xlpm.prof_factor,IF(AND(E30&lt;&gt;"—",E30&lt;&gt;"",ISNUMBER(E30)),POWER(E30/40,1.8),1),_xlpm.total_m2,(_xlpm.mat_m2+_xlpm.cons_m2)*H30*_xlpm.prof_factor*IF(C30&gt;70,COSTOS_M2!$B$70,1)*IF(D30&gt;244,COSTOS_M2!$B$71,1),_xlpm.total_m2)),"")</f>
        <v>1453.2732500000002</v>
      </c>
      <c r="J30" s="74">
        <f>IFERROR(IF(B30="","",INDEX(MANO_DE_OBRA!$P$10:$P$72,MATCH(B30&amp;"|"&amp;IF(H30&lt;=0.5,"CHICO",IF(H30&lt;=1,"MEDIANO","GRANDE")),MANO_DE_OBRA!$Q$10:$Q$72,0))),"")</f>
        <v>587.22913499999993</v>
      </c>
      <c r="K30" s="342">
        <f>IFERROR(IF(B30="","",_xlfn.LET(_xlpm.clave_prof,B30&amp;"|"&amp;E30,_xlpm.clave_todas,B30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30" s="75">
        <f>IFERROR(IF(B30="","",IF(I30="",0,I30)+IF(J30="",0,J30)+IF(K30="",0,K30)),"")</f>
        <v>2040.5023850000002</v>
      </c>
      <c r="M30" s="75">
        <f>IFERROR(IF(L30="","",L30*$D$8),"")</f>
        <v>2550.6279812500002</v>
      </c>
      <c r="N30" s="76">
        <f>IFERROR(IF(M30="","",CEILING(M30,50)),"")</f>
        <v>2600</v>
      </c>
      <c r="O30" s="77">
        <v>0</v>
      </c>
      <c r="P30" s="78">
        <f>IFERROR(IF(G30="","",G30*N30*(1-O30)),"")</f>
        <v>2600</v>
      </c>
      <c r="Q30" s="79"/>
    </row>
    <row r="31" spans="1:17" ht="19.5" customHeight="1" x14ac:dyDescent="0.2">
      <c r="A31" s="72" t="s">
        <v>1639</v>
      </c>
      <c r="B31" s="69" t="s">
        <v>193</v>
      </c>
      <c r="C31" s="69">
        <v>55</v>
      </c>
      <c r="D31" s="69">
        <v>295</v>
      </c>
      <c r="E31" s="69" t="s">
        <v>97</v>
      </c>
      <c r="F31" s="69" t="s">
        <v>178</v>
      </c>
      <c r="G31" s="69">
        <v>1</v>
      </c>
      <c r="H31" s="73">
        <f>IFERROR(IF(B31="","",(C31/100)*(D31/100)),"")</f>
        <v>1.6225000000000003</v>
      </c>
      <c r="I31" s="74">
        <f>IFERROR(IF(B31="","",_xlfn.LET(_xlpm.tamano,IF(H31&lt;=0.5,"CHICO",IF(H31&lt;=1,"MEDIANO","GRANDE")),_xlpm.clave,B31&amp;"|"&amp;_xlpm.tamano,_xlpm.fila,MATCH(_xlpm.clave,COSTOS_M2!$H$5:$H$67,0),_xlpm.mat_m2,INDEX(IF(F31="HUANACAXTLE",COSTOS_M2!$D$5:$D$67,IF(F31="ENCINO",COSTOS_M2!$E$5:$E$67,COSTOS_M2!$F$5:$F$67)),_xlpm.fila),_xlpm.cons_m2,INDEX(COSTOS_M2!$G$5:$G$67,_xlpm.fila),_xlpm.prof_factor,IF(AND(E31&lt;&gt;"—",E31&lt;&gt;"",ISNUMBER(E31)),POWER(E31/40,1.8),1),_xlpm.total_m2,(_xlpm.mat_m2+_xlpm.cons_m2)*H31*_xlpm.prof_factor*IF(C31&gt;70,COSTOS_M2!$B$70,1)*IF(D31&gt;244,COSTOS_M2!$B$71,1),_xlpm.total_m2)),"")</f>
        <v>2389.7802500000003</v>
      </c>
      <c r="J31" s="74">
        <f>IFERROR(IF(B31="","",INDEX(MANO_DE_OBRA!$P$10:$P$72,MATCH(B31&amp;"|"&amp;IF(H31&lt;=0.5,"CHICO",IF(H31&lt;=1,"MEDIANO","GRANDE")),MANO_DE_OBRA!$Q$10:$Q$72,0))),"")</f>
        <v>751.15698000000009</v>
      </c>
      <c r="K31" s="342">
        <f>IFERROR(IF(B31="","",_xlfn.LET(_xlpm.clave_prof,B31&amp;"|"&amp;E31,_xlpm.clave_todas,B31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31" s="75">
        <f>IFERROR(IF(B31="","",IF(I31="",0,I31)+IF(J31="",0,J31)+IF(K31="",0,K31)),"")</f>
        <v>3140.9372300000005</v>
      </c>
      <c r="M31" s="75">
        <f>IFERROR(IF(L31="","",L31*$D$8),"")</f>
        <v>3926.1715375000003</v>
      </c>
      <c r="N31" s="76">
        <f>IFERROR(IF(M31="","",CEILING(M31,50)),"")</f>
        <v>3950</v>
      </c>
      <c r="O31" s="77">
        <v>0</v>
      </c>
      <c r="P31" s="78">
        <f>IFERROR(IF(G31="","",G31*N31*(1-O31)),"")</f>
        <v>3950</v>
      </c>
      <c r="Q31" s="79"/>
    </row>
    <row r="32" spans="1:17" ht="19.5" customHeight="1" x14ac:dyDescent="0.2">
      <c r="A32" s="72" t="s">
        <v>1639</v>
      </c>
      <c r="B32" s="69" t="s">
        <v>1622</v>
      </c>
      <c r="C32" s="69">
        <v>55</v>
      </c>
      <c r="D32" s="69">
        <v>295</v>
      </c>
      <c r="E32" s="69" t="s">
        <v>97</v>
      </c>
      <c r="F32" s="69" t="s">
        <v>178</v>
      </c>
      <c r="G32" s="69">
        <v>1</v>
      </c>
      <c r="H32" s="73">
        <f>IFERROR(IF(B32="","",(C32/100)*(D32/100)),"")</f>
        <v>1.6225000000000003</v>
      </c>
      <c r="I32" s="74">
        <f>IFERROR(IF(B32="","",_xlfn.LET(_xlpm.tamano,IF(H32&lt;=0.5,"CHICO",IF(H32&lt;=1,"MEDIANO","GRANDE")),_xlpm.clave,B32&amp;"|"&amp;_xlpm.tamano,_xlpm.fila,MATCH(_xlpm.clave,COSTOS_M2!$H$5:$H$67,0),_xlpm.mat_m2,INDEX(IF(F32="HUANACAXTLE",COSTOS_M2!$D$5:$D$67,IF(F32="ENCINO",COSTOS_M2!$E$5:$E$67,COSTOS_M2!$F$5:$F$67)),_xlpm.fila),_xlpm.cons_m2,INDEX(COSTOS_M2!$G$5:$G$67,_xlpm.fila),_xlpm.prof_factor,IF(AND(E32&lt;&gt;"—",E32&lt;&gt;"",ISNUMBER(E32)),POWER(E32/40,1.8),1),_xlpm.total_m2,(_xlpm.mat_m2+_xlpm.cons_m2)*H32*_xlpm.prof_factor*IF(C32&gt;70,COSTOS_M2!$B$70,1)*IF(D32&gt;244,COSTOS_M2!$B$71,1),_xlpm.total_m2)),"")</f>
        <v>1571.3912500000004</v>
      </c>
      <c r="J32" s="74">
        <f>IFERROR(IF(B32="","",INDEX(MANO_DE_OBRA!$P$10:$P$72,MATCH(B32&amp;"|"&amp;IF(H32&lt;=0.5,"CHICO",IF(H32&lt;=1,"MEDIANO","GRANDE")),MANO_DE_OBRA!$Q$10:$Q$72,0))),"")</f>
        <v>725.19600000000003</v>
      </c>
      <c r="K32" s="342">
        <f>IFERROR(IF(B32="","",_xlfn.LET(_xlpm.clave_prof,B32&amp;"|"&amp;E32,_xlpm.clave_todas,B32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32" s="75">
        <f>IFERROR(IF(B32="","",IF(I32="",0,I32)+IF(J32="",0,J32)+IF(K32="",0,K32)),"")</f>
        <v>2296.5872500000005</v>
      </c>
      <c r="M32" s="75">
        <f>IFERROR(IF(L32="","",L32*$D$8),"")</f>
        <v>2870.7340625000006</v>
      </c>
      <c r="N32" s="76">
        <f>IFERROR(IF(M32="","",CEILING(M32,50)),"")</f>
        <v>2900</v>
      </c>
      <c r="O32" s="77">
        <v>0</v>
      </c>
      <c r="P32" s="78">
        <f>IFERROR(IF(G32="","",G32*N32*(1-O32)),"")</f>
        <v>2900</v>
      </c>
      <c r="Q32" s="79"/>
    </row>
    <row r="33" spans="1:17" ht="19.5" customHeight="1" x14ac:dyDescent="0.2">
      <c r="A33" s="72" t="s">
        <v>1639</v>
      </c>
      <c r="B33" s="69" t="s">
        <v>1614</v>
      </c>
      <c r="C33" s="69">
        <v>94</v>
      </c>
      <c r="D33" s="69">
        <v>55</v>
      </c>
      <c r="E33" s="69">
        <v>55</v>
      </c>
      <c r="F33" s="69" t="s">
        <v>178</v>
      </c>
      <c r="G33" s="69">
        <v>4</v>
      </c>
      <c r="H33" s="73">
        <f>IFERROR(IF(B33="","",(C33/100)*(D33/100)),"")</f>
        <v>0.51700000000000002</v>
      </c>
      <c r="I33" s="74">
        <f>IFERROR(IF(B33="","",_xlfn.LET(_xlpm.tamano,IF(H33&lt;=0.5,"CHICO",IF(H33&lt;=1,"MEDIANO","GRANDE")),_xlpm.clave,B33&amp;"|"&amp;_xlpm.tamano,_xlpm.fila,MATCH(_xlpm.clave,COSTOS_M2!$H$5:$H$67,0),_xlpm.mat_m2,INDEX(IF(F33="HUANACAXTLE",COSTOS_M2!$D$5:$D$67,IF(F33="ENCINO",COSTOS_M2!$E$5:$E$67,COSTOS_M2!$F$5:$F$67)),_xlpm.fila),_xlpm.cons_m2,INDEX(COSTOS_M2!$G$5:$G$67,_xlpm.fila),_xlpm.prof_factor,IF(AND(E33&lt;&gt;"—",E33&lt;&gt;"",ISNUMBER(E33)),POWER(E33/40,1.8),1),_xlpm.total_m2,(_xlpm.mat_m2+_xlpm.cons_m2)*H33*_xlpm.prof_factor*IF(C33&gt;70,COSTOS_M2!$B$70,1)*IF(D33&gt;244,COSTOS_M2!$B$71,1),_xlpm.total_m2)),"")</f>
        <v>693.90774801483076</v>
      </c>
      <c r="J33" s="74">
        <f>IFERROR(IF(B33="","",INDEX(MANO_DE_OBRA!$P$10:$P$72,MATCH(B33&amp;"|"&amp;IF(H33&lt;=0.5,"CHICO",IF(H33&lt;=1,"MEDIANO","GRANDE")),MANO_DE_OBRA!$Q$10:$Q$72,0))),"")</f>
        <v>410.25956399999995</v>
      </c>
      <c r="K33" s="342">
        <f>IFERROR(IF(B33="","",_xlfn.LET(_xlpm.clave_prof,B33&amp;"|"&amp;E33,_xlpm.clave_todas,B33&amp;"|TODAS",_xlpm.herr_prof,SUMIFS(HERRAJES!$H$5:$H$36,HERRAJES!$J$5:$J$36,_xlpm.clave_prof),_xlpm.herr_todas,SUMIFS(HERRAJES!$H$5:$H$36,HERRAJES!$J$5:$J$36,_xlpm.clave_todas),IF(_xlpm.herr_prof&gt;0,_xlpm.herr_prof,_xlpm.herr_todas))),"")</f>
        <v>50.52</v>
      </c>
      <c r="L33" s="75">
        <f>IFERROR(IF(B33="","",IF(I33="",0,I33)+IF(J33="",0,J33)+IF(K33="",0,K33)),"")</f>
        <v>1154.6873120148307</v>
      </c>
      <c r="M33" s="75">
        <f>IFERROR(IF(L33="","",L33*$D$8),"")</f>
        <v>1443.3591400185383</v>
      </c>
      <c r="N33" s="76">
        <f>IFERROR(IF(M33="","",CEILING(M33,50)),"")</f>
        <v>1450</v>
      </c>
      <c r="O33" s="77">
        <v>0</v>
      </c>
      <c r="P33" s="78">
        <f>IFERROR(IF(G33="","",G33*N33*(1-O33)),"")</f>
        <v>5800</v>
      </c>
      <c r="Q33" s="79"/>
    </row>
    <row r="34" spans="1:17" ht="19.5" customHeight="1" x14ac:dyDescent="0.2">
      <c r="A34" s="72" t="s">
        <v>1639</v>
      </c>
      <c r="B34" s="69" t="s">
        <v>1623</v>
      </c>
      <c r="C34" s="69">
        <v>55</v>
      </c>
      <c r="D34" s="69">
        <v>94</v>
      </c>
      <c r="E34" s="69" t="s">
        <v>97</v>
      </c>
      <c r="F34" s="69" t="s">
        <v>178</v>
      </c>
      <c r="G34" s="69">
        <v>2</v>
      </c>
      <c r="H34" s="73">
        <f>IFERROR(IF(B34="","",(C34/100)*(D34/100)),"")</f>
        <v>0.51700000000000002</v>
      </c>
      <c r="I34" s="74">
        <f>IFERROR(IF(B34="","",_xlfn.LET(_xlpm.tamano,IF(H34&lt;=0.5,"CHICO",IF(H34&lt;=1,"MEDIANO","GRANDE")),_xlpm.clave,B34&amp;"|"&amp;_xlpm.tamano,_xlpm.fila,MATCH(_xlpm.clave,COSTOS_M2!$H$5:$H$67,0),_xlpm.mat_m2,INDEX(IF(F34="HUANACAXTLE",COSTOS_M2!$D$5:$D$67,IF(F34="ENCINO",COSTOS_M2!$E$5:$E$67,COSTOS_M2!$F$5:$F$67)),_xlpm.fila),_xlpm.cons_m2,INDEX(COSTOS_M2!$G$5:$G$67,_xlpm.fila),_xlpm.prof_factor,IF(AND(E34&lt;&gt;"—",E34&lt;&gt;"",ISNUMBER(E34)),POWER(E34/40,1.8),1),_xlpm.total_m2,(_xlpm.mat_m2+_xlpm.cons_m2)*H34*_xlpm.prof_factor*IF(C34&gt;70,COSTOS_M2!$B$70,1)*IF(D34&gt;244,COSTOS_M2!$B$71,1),_xlpm.total_m2)),"")</f>
        <v>405.84500000000003</v>
      </c>
      <c r="J34" s="74">
        <f>IFERROR(IF(B34="","",INDEX(MANO_DE_OBRA!$P$10:$P$72,MATCH(B34&amp;"|"&amp;IF(H34&lt;=0.5,"CHICO",IF(H34&lt;=1,"MEDIANO","GRANDE")),MANO_DE_OBRA!$Q$10:$Q$72,0))),"")</f>
        <v>400.55880000000002</v>
      </c>
      <c r="K34" s="342">
        <f>IFERROR(IF(B34="","",_xlfn.LET(_xlpm.clave_prof,B34&amp;"|"&amp;E34,_xlpm.clave_todas,B34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34" s="75">
        <f>IFERROR(IF(B34="","",IF(I34="",0,I34)+IF(J34="",0,J34)+IF(K34="",0,K34)),"")</f>
        <v>806.40380000000005</v>
      </c>
      <c r="M34" s="75">
        <f>IFERROR(IF(L34="","",L34*$D$8),"")</f>
        <v>1008.0047500000001</v>
      </c>
      <c r="N34" s="76">
        <f>IFERROR(IF(M34="","",CEILING(M34,50)),"")</f>
        <v>1050</v>
      </c>
      <c r="O34" s="77">
        <v>0</v>
      </c>
      <c r="P34" s="78">
        <f>IFERROR(IF(G34="","",G34*N34*(1-O34)),"")</f>
        <v>2100</v>
      </c>
      <c r="Q34" s="79"/>
    </row>
    <row r="35" spans="1:17" ht="19.5" customHeight="1" x14ac:dyDescent="0.2">
      <c r="A35" s="72" t="s">
        <v>1639</v>
      </c>
      <c r="B35" s="69" t="s">
        <v>203</v>
      </c>
      <c r="C35" s="69" t="s">
        <v>205</v>
      </c>
      <c r="D35" s="69">
        <v>94</v>
      </c>
      <c r="E35" s="69" t="s">
        <v>97</v>
      </c>
      <c r="F35" s="69" t="s">
        <v>178</v>
      </c>
      <c r="G35" s="69">
        <v>4</v>
      </c>
      <c r="H35" s="73" t="str">
        <f>IFERROR(IF(B35="","",(C35/100)*(D35/100)),"")</f>
        <v/>
      </c>
      <c r="I35" s="74" t="str">
        <f>IFERROR(IF(B35="","",_xlfn.LET(_xlpm.tamano,IF(H35&lt;=0.5,"CHICO",IF(H35&lt;=1,"MEDIANO","GRANDE")),_xlpm.clave,B35&amp;"|"&amp;_xlpm.tamano,_xlpm.fila,MATCH(_xlpm.clave,COSTOS_M2!$H$5:$H$67,0),_xlpm.mat_m2,INDEX(IF(F35="HUANACAXTLE",COSTOS_M2!$D$5:$D$67,IF(F35="ENCINO",COSTOS_M2!$E$5:$E$67,COSTOS_M2!$F$5:$F$67)),_xlpm.fila),_xlpm.cons_m2,INDEX(COSTOS_M2!$G$5:$G$67,_xlpm.fila),_xlpm.prof_factor,IF(AND(E35&lt;&gt;"—",E35&lt;&gt;"",ISNUMBER(E35)),POWER(E35/40,1.8),1),_xlpm.total_m2,(_xlpm.mat_m2+_xlpm.cons_m2)*H35*_xlpm.prof_factor*IF(C35&gt;70,COSTOS_M2!$B$70,1)*IF(D35&gt;244,COSTOS_M2!$B$71,1),_xlpm.total_m2)),"")</f>
        <v/>
      </c>
      <c r="J35" s="74">
        <f>IFERROR(IF(B35="","",INDEX(MANO_DE_OBRA!$P$10:$P$72,MATCH(B35&amp;"|"&amp;IF(H35&lt;=0.5,"CHICO",IF(H35&lt;=1,"MEDIANO","GRANDE")),MANO_DE_OBRA!$Q$10:$Q$72,0))),"")</f>
        <v>25.592999999999996</v>
      </c>
      <c r="K35" s="342">
        <f>IFERROR(IF(B35="","",_xlfn.LET(_xlpm.clave_prof,B35&amp;"|"&amp;E35,_xlpm.clave_todas,B35&amp;"|TODAS",_xlpm.herr_prof,SUMIFS(HERRAJES!$H$5:$H$36,HERRAJES!$J$5:$J$36,_xlpm.clave_prof),_xlpm.herr_todas,SUMIFS(HERRAJES!$H$5:$H$36,HERRAJES!$J$5:$J$36,_xlpm.clave_todas),IF(_xlpm.herr_prof&gt;0,_xlpm.herr_prof,_xlpm.herr_todas))),"")</f>
        <v>2.74</v>
      </c>
      <c r="L35" s="75">
        <f>IFERROR(IF(B35="","",IF(I35="",0,I35)+IF(J35="",0,J35)+IF(K35="",0,K35)),"")</f>
        <v>28.332999999999998</v>
      </c>
      <c r="M35" s="75">
        <f>IFERROR(IF(L35="","",L35*$D$8),"")</f>
        <v>35.416249999999998</v>
      </c>
      <c r="N35" s="76">
        <f>IFERROR(IF(M35="","",CEILING(M35,50)),"")</f>
        <v>50</v>
      </c>
      <c r="O35" s="77">
        <v>0</v>
      </c>
      <c r="P35" s="78">
        <f>IFERROR(IF(G35="","",G35*N35*(1-O35)),"")</f>
        <v>200</v>
      </c>
      <c r="Q35" s="79"/>
    </row>
    <row r="36" spans="1:17" ht="19.5" customHeight="1" x14ac:dyDescent="0.2">
      <c r="A36" s="72" t="s">
        <v>1639</v>
      </c>
      <c r="B36" s="69" t="s">
        <v>1628</v>
      </c>
      <c r="C36" s="69">
        <v>195</v>
      </c>
      <c r="D36" s="69">
        <v>295</v>
      </c>
      <c r="E36" s="69" t="s">
        <v>97</v>
      </c>
      <c r="F36" s="69" t="s">
        <v>178</v>
      </c>
      <c r="G36" s="69">
        <v>1</v>
      </c>
      <c r="H36" s="73">
        <f>IFERROR(IF(B36="","",(C36/100)*(D36/100)),"")</f>
        <v>5.7525000000000004</v>
      </c>
      <c r="I36" s="74">
        <f>IFERROR(IF(B36="","",_xlfn.LET(_xlpm.tamano,IF(H36&lt;=0.5,"CHICO",IF(H36&lt;=1,"MEDIANO","GRANDE")),_xlpm.clave,B36&amp;"|"&amp;_xlpm.tamano,_xlpm.fila,MATCH(_xlpm.clave,COSTOS_M2!$H$5:$H$67,0),_xlpm.mat_m2,INDEX(IF(F36="HUANACAXTLE",COSTOS_M2!$D$5:$D$67,IF(F36="ENCINO",COSTOS_M2!$E$5:$E$67,COSTOS_M2!$F$5:$F$67)),_xlpm.fila),_xlpm.cons_m2,INDEX(COSTOS_M2!$G$5:$G$67,_xlpm.fila),_xlpm.prof_factor,IF(AND(E36&lt;&gt;"—",E36&lt;&gt;"",ISNUMBER(E36)),POWER(E36/40,1.8),1),_xlpm.total_m2,(_xlpm.mat_m2+_xlpm.cons_m2)*H36*_xlpm.prof_factor*IF(C36&gt;70,COSTOS_M2!$B$70,1)*IF(D36&gt;244,COSTOS_M2!$B$71,1),_xlpm.total_m2)),"")</f>
        <v>2284.6053750000001</v>
      </c>
      <c r="J36" s="74">
        <f>IFERROR(IF(B36="","",INDEX(MANO_DE_OBRA!$P$10:$P$72,MATCH(B36&amp;"|"&amp;IF(H36&lt;=0.5,"CHICO",IF(H36&lt;=1,"MEDIANO","GRANDE")),MANO_DE_OBRA!$Q$10:$Q$72,0))),"")</f>
        <v>295.7955</v>
      </c>
      <c r="K36" s="342">
        <f>IFERROR(IF(B36="","",_xlfn.LET(_xlpm.clave_prof,B36&amp;"|"&amp;E36,_xlpm.clave_todas,B36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36" s="75">
        <f>IFERROR(IF(B36="","",IF(I36="",0,I36)+IF(J36="",0,J36)+IF(K36="",0,K36)),"")</f>
        <v>2580.4008750000003</v>
      </c>
      <c r="M36" s="75">
        <f>IFERROR(IF(L36="","",L36*$D$8),"")</f>
        <v>3225.5010937500001</v>
      </c>
      <c r="N36" s="76">
        <f>IFERROR(IF(M36="","",CEILING(M36,50)),"")</f>
        <v>3250</v>
      </c>
      <c r="O36" s="77">
        <v>0</v>
      </c>
      <c r="P36" s="78">
        <f>IFERROR(IF(G36="","",G36*N36*(1-O36)),"")</f>
        <v>3250</v>
      </c>
      <c r="Q36" s="79"/>
    </row>
    <row r="37" spans="1:17" ht="19.5" customHeight="1" x14ac:dyDescent="0.2">
      <c r="A37" s="72" t="s">
        <v>1639</v>
      </c>
      <c r="B37" s="69" t="s">
        <v>1626</v>
      </c>
      <c r="C37" s="69">
        <v>5</v>
      </c>
      <c r="D37" s="69">
        <v>400</v>
      </c>
      <c r="E37" s="69" t="s">
        <v>97</v>
      </c>
      <c r="F37" s="69" t="s">
        <v>178</v>
      </c>
      <c r="G37" s="69">
        <v>1</v>
      </c>
      <c r="H37" s="73">
        <f>IFERROR(IF(B37="","",(C37/100)*(D37/100)),"")</f>
        <v>0.2</v>
      </c>
      <c r="I37" s="74">
        <f>IFERROR(IF(B37="","",_xlfn.LET(_xlpm.tamano,IF(H37&lt;=0.5,"CHICO",IF(H37&lt;=1,"MEDIANO","GRANDE")),_xlpm.clave,B37&amp;"|"&amp;_xlpm.tamano,_xlpm.fila,MATCH(_xlpm.clave,COSTOS_M2!$H$5:$H$67,0),_xlpm.mat_m2,INDEX(IF(F37="HUANACAXTLE",COSTOS_M2!$D$5:$D$67,IF(F37="ENCINO",COSTOS_M2!$E$5:$E$67,COSTOS_M2!$F$5:$F$67)),_xlpm.fila),_xlpm.cons_m2,INDEX(COSTOS_M2!$G$5:$G$67,_xlpm.fila),_xlpm.prof_factor,IF(AND(E37&lt;&gt;"—",E37&lt;&gt;"",ISNUMBER(E37)),POWER(E37/40,1.8),1),_xlpm.total_m2,(_xlpm.mat_m2+_xlpm.cons_m2)*H37*_xlpm.prof_factor*IF(C37&gt;70,COSTOS_M2!$B$70,1)*IF(D37&gt;244,COSTOS_M2!$B$71,1),_xlpm.total_m2)),"")</f>
        <v>1339</v>
      </c>
      <c r="J37" s="74">
        <f>IFERROR(IF(B37="","",INDEX(MANO_DE_OBRA!$P$10:$P$72,MATCH(B37&amp;"|"&amp;IF(H37&lt;=0.5,"CHICO",IF(H37&lt;=1,"MEDIANO","GRANDE")),MANO_DE_OBRA!$Q$10:$Q$72,0))),"")</f>
        <v>477.459</v>
      </c>
      <c r="K37" s="342">
        <f>IFERROR(IF(B37="","",_xlfn.LET(_xlpm.clave_prof,B37&amp;"|"&amp;E37,_xlpm.clave_todas,B37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37" s="75">
        <f>IFERROR(IF(B37="","",IF(I37="",0,I37)+IF(J37="",0,J37)+IF(K37="",0,K37)),"")</f>
        <v>1816.4590000000001</v>
      </c>
      <c r="M37" s="75">
        <f>IFERROR(IF(L37="","",L37*$D$8),"")</f>
        <v>2270.57375</v>
      </c>
      <c r="N37" s="76">
        <f>IFERROR(IF(M37="","",CEILING(M37,50)),"")</f>
        <v>2300</v>
      </c>
      <c r="O37" s="77">
        <v>0</v>
      </c>
      <c r="P37" s="78">
        <f>IFERROR(IF(G37="","",G37*N37*(1-O37)),"")</f>
        <v>2300</v>
      </c>
      <c r="Q37" s="79"/>
    </row>
    <row r="38" spans="1:17" ht="19.5" customHeight="1" x14ac:dyDescent="0.2">
      <c r="A38" s="72" t="s">
        <v>1640</v>
      </c>
      <c r="B38" s="69" t="s">
        <v>195</v>
      </c>
      <c r="C38" s="69">
        <v>35</v>
      </c>
      <c r="D38" s="69">
        <v>100</v>
      </c>
      <c r="E38" s="69" t="s">
        <v>97</v>
      </c>
      <c r="F38" s="69" t="s">
        <v>178</v>
      </c>
      <c r="G38" s="69">
        <v>1</v>
      </c>
      <c r="H38" s="73">
        <f>IFERROR(IF(B38="","",(C38/100)*(D38/100)),"")</f>
        <v>0.35</v>
      </c>
      <c r="I38" s="74">
        <f>IFERROR(IF(B38="","",_xlfn.LET(_xlpm.tamano,IF(H38&lt;=0.5,"CHICO",IF(H38&lt;=1,"MEDIANO","GRANDE")),_xlpm.clave,B38&amp;"|"&amp;_xlpm.tamano,_xlpm.fila,MATCH(_xlpm.clave,COSTOS_M2!$H$5:$H$67,0),_xlpm.mat_m2,INDEX(IF(F38="HUANACAXTLE",COSTOS_M2!$D$5:$D$67,IF(F38="ENCINO",COSTOS_M2!$E$5:$E$67,COSTOS_M2!$F$5:$F$67)),_xlpm.fila),_xlpm.cons_m2,INDEX(COSTOS_M2!$G$5:$G$67,_xlpm.fila),_xlpm.prof_factor,IF(AND(E38&lt;&gt;"—",E38&lt;&gt;"",ISNUMBER(E38)),POWER(E38/40,1.8),1),_xlpm.total_m2,(_xlpm.mat_m2+_xlpm.cons_m2)*H38*_xlpm.prof_factor*IF(C38&gt;70,COSTOS_M2!$B$70,1)*IF(D38&gt;244,COSTOS_M2!$B$71,1),_xlpm.total_m2)),"")</f>
        <v>259.7</v>
      </c>
      <c r="J38" s="74">
        <f>IFERROR(IF(B38="","",INDEX(MANO_DE_OBRA!$P$10:$P$72,MATCH(B38&amp;"|"&amp;IF(H38&lt;=0.5,"CHICO",IF(H38&lt;=1,"MEDIANO","GRANDE")),MANO_DE_OBRA!$Q$10:$Q$72,0))),"")</f>
        <v>395.78996999999998</v>
      </c>
      <c r="K38" s="342">
        <f>IFERROR(IF(B38="","",_xlfn.LET(_xlpm.clave_prof,B38&amp;"|"&amp;E38,_xlpm.clave_todas,B38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38" s="75">
        <f>IFERROR(IF(B38="","",IF(I38="",0,I38)+IF(J38="",0,J38)+IF(K38="",0,K38)),"")</f>
        <v>655.48996999999997</v>
      </c>
      <c r="M38" s="75">
        <f>IFERROR(IF(L38="","",L38*$D$8),"")</f>
        <v>819.36246249999999</v>
      </c>
      <c r="N38" s="76">
        <f>IFERROR(IF(M38="","",CEILING(M38,50)),"")</f>
        <v>850</v>
      </c>
      <c r="O38" s="77">
        <v>0</v>
      </c>
      <c r="P38" s="78">
        <f>IFERROR(IF(G38="","",G38*N38*(1-O38)),"")</f>
        <v>850</v>
      </c>
      <c r="Q38" s="79"/>
    </row>
    <row r="39" spans="1:17" ht="19.5" customHeight="1" x14ac:dyDescent="0.2">
      <c r="A39" s="72" t="s">
        <v>1640</v>
      </c>
      <c r="B39" s="69" t="s">
        <v>196</v>
      </c>
      <c r="C39" s="69">
        <v>35</v>
      </c>
      <c r="D39" s="69">
        <v>100</v>
      </c>
      <c r="E39" s="69" t="s">
        <v>97</v>
      </c>
      <c r="F39" s="69" t="s">
        <v>178</v>
      </c>
      <c r="G39" s="69">
        <v>1</v>
      </c>
      <c r="H39" s="73">
        <f>IFERROR(IF(B39="","",(C39/100)*(D39/100)),"")</f>
        <v>0.35</v>
      </c>
      <c r="I39" s="74">
        <f>IFERROR(IF(B39="","",_xlfn.LET(_xlpm.tamano,IF(H39&lt;=0.5,"CHICO",IF(H39&lt;=1,"MEDIANO","GRANDE")),_xlpm.clave,B39&amp;"|"&amp;_xlpm.tamano,_xlpm.fila,MATCH(_xlpm.clave,COSTOS_M2!$H$5:$H$67,0),_xlpm.mat_m2,INDEX(IF(F39="HUANACAXTLE",COSTOS_M2!$D$5:$D$67,IF(F39="ENCINO",COSTOS_M2!$E$5:$E$67,COSTOS_M2!$F$5:$F$67)),_xlpm.fila),_xlpm.cons_m2,INDEX(COSTOS_M2!$G$5:$G$67,_xlpm.fila),_xlpm.prof_factor,IF(AND(E39&lt;&gt;"—",E39&lt;&gt;"",ISNUMBER(E39)),POWER(E39/40,1.8),1),_xlpm.total_m2,(_xlpm.mat_m2+_xlpm.cons_m2)*H39*_xlpm.prof_factor*IF(C39&gt;70,COSTOS_M2!$B$70,1)*IF(D39&gt;244,COSTOS_M2!$B$71,1),_xlpm.total_m2)),"")</f>
        <v>310.79999999999995</v>
      </c>
      <c r="J39" s="74">
        <f>IFERROR(IF(B39="","",INDEX(MANO_DE_OBRA!$P$10:$P$72,MATCH(B39&amp;"|"&amp;IF(H39&lt;=0.5,"CHICO",IF(H39&lt;=1,"MEDIANO","GRANDE")),MANO_DE_OBRA!$Q$10:$Q$72,0))),"")</f>
        <v>404.95226999999994</v>
      </c>
      <c r="K39" s="342">
        <f>IFERROR(IF(B39="","",_xlfn.LET(_xlpm.clave_prof,B39&amp;"|"&amp;E39,_xlpm.clave_todas,B39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39" s="75">
        <f>IFERROR(IF(B39="","",IF(I39="",0,I39)+IF(J39="",0,J39)+IF(K39="",0,K39)),"")</f>
        <v>715.75226999999995</v>
      </c>
      <c r="M39" s="75">
        <f>IFERROR(IF(L39="","",L39*$D$8),"")</f>
        <v>894.69033749999994</v>
      </c>
      <c r="N39" s="76">
        <f>IFERROR(IF(M39="","",CEILING(M39,50)),"")</f>
        <v>900</v>
      </c>
      <c r="O39" s="77">
        <v>0</v>
      </c>
      <c r="P39" s="78">
        <f>IFERROR(IF(G39="","",G39*N39*(1-O39)),"")</f>
        <v>900</v>
      </c>
      <c r="Q39" s="79"/>
    </row>
    <row r="40" spans="1:17" ht="19.5" customHeight="1" x14ac:dyDescent="0.2">
      <c r="A40" s="72" t="s">
        <v>1640</v>
      </c>
      <c r="B40" s="69" t="s">
        <v>193</v>
      </c>
      <c r="C40" s="69">
        <v>35</v>
      </c>
      <c r="D40" s="69">
        <v>295</v>
      </c>
      <c r="E40" s="69" t="s">
        <v>97</v>
      </c>
      <c r="F40" s="69" t="s">
        <v>178</v>
      </c>
      <c r="G40" s="69">
        <v>2</v>
      </c>
      <c r="H40" s="73">
        <f>IFERROR(IF(B40="","",(C40/100)*(D40/100)),"")</f>
        <v>1.0325</v>
      </c>
      <c r="I40" s="74">
        <f>IFERROR(IF(B40="","",_xlfn.LET(_xlpm.tamano,IF(H40&lt;=0.5,"CHICO",IF(H40&lt;=1,"MEDIANO","GRANDE")),_xlpm.clave,B40&amp;"|"&amp;_xlpm.tamano,_xlpm.fila,MATCH(_xlpm.clave,COSTOS_M2!$H$5:$H$67,0),_xlpm.mat_m2,INDEX(IF(F40="HUANACAXTLE",COSTOS_M2!$D$5:$D$67,IF(F40="ENCINO",COSTOS_M2!$E$5:$E$67,COSTOS_M2!$F$5:$F$67)),_xlpm.fila),_xlpm.cons_m2,INDEX(COSTOS_M2!$G$5:$G$67,_xlpm.fila),_xlpm.prof_factor,IF(AND(E40&lt;&gt;"—",E40&lt;&gt;"",ISNUMBER(E40)),POWER(E40/40,1.8),1),_xlpm.total_m2,(_xlpm.mat_m2+_xlpm.cons_m2)*H40*_xlpm.prof_factor*IF(C40&gt;70,COSTOS_M2!$B$70,1)*IF(D40&gt;244,COSTOS_M2!$B$71,1),_xlpm.total_m2)),"")</f>
        <v>1520.7692500000001</v>
      </c>
      <c r="J40" s="74">
        <f>IFERROR(IF(B40="","",INDEX(MANO_DE_OBRA!$P$10:$P$72,MATCH(B40&amp;"|"&amp;IF(H40&lt;=0.5,"CHICO",IF(H40&lt;=1,"MEDIANO","GRANDE")),MANO_DE_OBRA!$Q$10:$Q$72,0))),"")</f>
        <v>751.15698000000009</v>
      </c>
      <c r="K40" s="342">
        <f>IFERROR(IF(B40="","",_xlfn.LET(_xlpm.clave_prof,B40&amp;"|"&amp;E40,_xlpm.clave_todas,B40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40" s="75">
        <f>IFERROR(IF(B40="","",IF(I40="",0,I40)+IF(J40="",0,J40)+IF(K40="",0,K40)),"")</f>
        <v>2271.92623</v>
      </c>
      <c r="M40" s="75">
        <f>IFERROR(IF(L40="","",L40*$D$8),"")</f>
        <v>2839.9077875000003</v>
      </c>
      <c r="N40" s="76">
        <f>IFERROR(IF(M40="","",CEILING(M40,50)),"")</f>
        <v>2850</v>
      </c>
      <c r="O40" s="77">
        <v>0</v>
      </c>
      <c r="P40" s="78">
        <f>IFERROR(IF(G40="","",G40*N40*(1-O40)),"")</f>
        <v>5700</v>
      </c>
      <c r="Q40" s="79"/>
    </row>
    <row r="41" spans="1:17" ht="19.5" customHeight="1" x14ac:dyDescent="0.2">
      <c r="A41" s="72" t="s">
        <v>1640</v>
      </c>
      <c r="B41" s="69" t="s">
        <v>1614</v>
      </c>
      <c r="C41" s="69">
        <v>100</v>
      </c>
      <c r="D41" s="69">
        <v>35</v>
      </c>
      <c r="E41" s="69" t="s">
        <v>97</v>
      </c>
      <c r="F41" s="69" t="s">
        <v>178</v>
      </c>
      <c r="G41" s="69">
        <v>2</v>
      </c>
      <c r="H41" s="73">
        <f>IFERROR(IF(B41="","",(C41/100)*(D41/100)),"")</f>
        <v>0.35</v>
      </c>
      <c r="I41" s="74">
        <f>IFERROR(IF(B41="","",_xlfn.LET(_xlpm.tamano,IF(H41&lt;=0.5,"CHICO",IF(H41&lt;=1,"MEDIANO","GRANDE")),_xlpm.clave,B41&amp;"|"&amp;_xlpm.tamano,_xlpm.fila,MATCH(_xlpm.clave,COSTOS_M2!$H$5:$H$67,0),_xlpm.mat_m2,INDEX(IF(F41="HUANACAXTLE",COSTOS_M2!$D$5:$D$67,IF(F41="ENCINO",COSTOS_M2!$E$5:$E$67,COSTOS_M2!$F$5:$F$67)),_xlpm.fila),_xlpm.cons_m2,INDEX(COSTOS_M2!$G$5:$G$67,_xlpm.fila),_xlpm.prof_factor,IF(AND(E41&lt;&gt;"—",E41&lt;&gt;"",ISNUMBER(E41)),POWER(E41/40,1.8),1),_xlpm.total_m2,(_xlpm.mat_m2+_xlpm.cons_m2)*H41*_xlpm.prof_factor*IF(C41&gt;70,COSTOS_M2!$B$70,1)*IF(D41&gt;244,COSTOS_M2!$B$71,1),_xlpm.total_m2)),"")</f>
        <v>282.55500000000001</v>
      </c>
      <c r="J41" s="74">
        <f>IFERROR(IF(B41="","",INDEX(MANO_DE_OBRA!$P$10:$P$72,MATCH(B41&amp;"|"&amp;IF(H41&lt;=0.5,"CHICO",IF(H41&lt;=1,"MEDIANO","GRANDE")),MANO_DE_OBRA!$Q$10:$Q$72,0))),"")</f>
        <v>396.27419399999997</v>
      </c>
      <c r="K41" s="342">
        <f>IFERROR(IF(B41="","",_xlfn.LET(_xlpm.clave_prof,B41&amp;"|"&amp;E41,_xlpm.clave_todas,B41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41" s="75">
        <f>IFERROR(IF(B41="","",IF(I41="",0,I41)+IF(J41="",0,J41)+IF(K41="",0,K41)),"")</f>
        <v>678.82919399999992</v>
      </c>
      <c r="M41" s="75">
        <f>IFERROR(IF(L41="","",L41*$D$8),"")</f>
        <v>848.53649249999989</v>
      </c>
      <c r="N41" s="76">
        <f>IFERROR(IF(M41="","",CEILING(M41,50)),"")</f>
        <v>850</v>
      </c>
      <c r="O41" s="77">
        <v>0</v>
      </c>
      <c r="P41" s="78">
        <f>IFERROR(IF(G41="","",G41*N41*(1-O41)),"")</f>
        <v>1700</v>
      </c>
      <c r="Q41" s="79"/>
    </row>
    <row r="42" spans="1:17" ht="19.5" customHeight="1" x14ac:dyDescent="0.2">
      <c r="A42" s="72" t="s">
        <v>1640</v>
      </c>
      <c r="B42" s="69" t="s">
        <v>197</v>
      </c>
      <c r="C42" s="69">
        <v>35</v>
      </c>
      <c r="D42" s="69">
        <v>100</v>
      </c>
      <c r="E42" s="69" t="s">
        <v>97</v>
      </c>
      <c r="F42" s="69" t="s">
        <v>178</v>
      </c>
      <c r="G42" s="69">
        <v>5</v>
      </c>
      <c r="H42" s="73">
        <f>IFERROR(IF(B42="","",(C42/100)*(D42/100)),"")</f>
        <v>0.35</v>
      </c>
      <c r="I42" s="74">
        <f>IFERROR(IF(B42="","",_xlfn.LET(_xlpm.tamano,IF(H42&lt;=0.5,"CHICO",IF(H42&lt;=1,"MEDIANO","GRANDE")),_xlpm.clave,B42&amp;"|"&amp;_xlpm.tamano,_xlpm.fila,MATCH(_xlpm.clave,COSTOS_M2!$H$5:$H$67,0),_xlpm.mat_m2,INDEX(IF(F42="HUANACAXTLE",COSTOS_M2!$D$5:$D$67,IF(F42="ENCINO",COSTOS_M2!$E$5:$E$67,COSTOS_M2!$F$5:$F$67)),_xlpm.fila),_xlpm.cons_m2,INDEX(COSTOS_M2!$G$5:$G$67,_xlpm.fila),_xlpm.prof_factor,IF(AND(E42&lt;&gt;"—",E42&lt;&gt;"",ISNUMBER(E42)),POWER(E42/40,1.8),1),_xlpm.total_m2,(_xlpm.mat_m2+_xlpm.cons_m2)*H42*_xlpm.prof_factor*IF(C42&gt;70,COSTOS_M2!$B$70,1)*IF(D42&gt;244,COSTOS_M2!$B$71,1),_xlpm.total_m2)),"")</f>
        <v>275.09999999999997</v>
      </c>
      <c r="J42" s="74">
        <f>IFERROR(IF(B42="","",INDEX(MANO_DE_OBRA!$P$10:$P$72,MATCH(B42&amp;"|"&amp;IF(H42&lt;=0.5,"CHICO",IF(H42&lt;=1,"MEDIANO","GRANDE")),MANO_DE_OBRA!$Q$10:$Q$72,0))),"")</f>
        <v>292.24064999999996</v>
      </c>
      <c r="K42" s="342">
        <f>IFERROR(IF(B42="","",_xlfn.LET(_xlpm.clave_prof,B42&amp;"|"&amp;E42,_xlpm.clave_todas,B42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42" s="75">
        <f>IFERROR(IF(B42="","",IF(I42="",0,I42)+IF(J42="",0,J42)+IF(K42="",0,K42)),"")</f>
        <v>567.34064999999987</v>
      </c>
      <c r="M42" s="75">
        <f>IFERROR(IF(L42="","",L42*$D$8),"")</f>
        <v>709.17581249999989</v>
      </c>
      <c r="N42" s="76">
        <f>IFERROR(IF(M42="","",CEILING(M42,50)),"")</f>
        <v>750</v>
      </c>
      <c r="O42" s="77">
        <v>0</v>
      </c>
      <c r="P42" s="78">
        <f>IFERROR(IF(G42="","",G42*N42*(1-O42)),"")</f>
        <v>3750</v>
      </c>
      <c r="Q42" s="79"/>
    </row>
    <row r="43" spans="1:17" ht="19.5" customHeight="1" x14ac:dyDescent="0.2">
      <c r="A43" s="72" t="s">
        <v>1640</v>
      </c>
      <c r="B43" s="69" t="s">
        <v>1623</v>
      </c>
      <c r="C43" s="69">
        <v>35</v>
      </c>
      <c r="D43" s="69">
        <v>100</v>
      </c>
      <c r="E43" s="69" t="s">
        <v>97</v>
      </c>
      <c r="F43" s="69" t="s">
        <v>178</v>
      </c>
      <c r="G43" s="69">
        <v>1</v>
      </c>
      <c r="H43" s="73">
        <f>IFERROR(IF(B43="","",(C43/100)*(D43/100)),"")</f>
        <v>0.35</v>
      </c>
      <c r="I43" s="74">
        <f>IFERROR(IF(B43="","",_xlfn.LET(_xlpm.tamano,IF(H43&lt;=0.5,"CHICO",IF(H43&lt;=1,"MEDIANO","GRANDE")),_xlpm.clave,B43&amp;"|"&amp;_xlpm.tamano,_xlpm.fila,MATCH(_xlpm.clave,COSTOS_M2!$H$5:$H$67,0),_xlpm.mat_m2,INDEX(IF(F43="HUANACAXTLE",COSTOS_M2!$D$5:$D$67,IF(F43="ENCINO",COSTOS_M2!$E$5:$E$67,COSTOS_M2!$F$5:$F$67)),_xlpm.fila),_xlpm.cons_m2,INDEX(COSTOS_M2!$G$5:$G$67,_xlpm.fila),_xlpm.prof_factor,IF(AND(E43&lt;&gt;"—",E43&lt;&gt;"",ISNUMBER(E43)),POWER(E43/40,1.8),1),_xlpm.total_m2,(_xlpm.mat_m2+_xlpm.cons_m2)*H43*_xlpm.prof_factor*IF(C43&gt;70,COSTOS_M2!$B$70,1)*IF(D43&gt;244,COSTOS_M2!$B$71,1),_xlpm.total_m2)),"")</f>
        <v>292.25</v>
      </c>
      <c r="J43" s="74">
        <f>IFERROR(IF(B43="","",INDEX(MANO_DE_OBRA!$P$10:$P$72,MATCH(B43&amp;"|"&amp;IF(H43&lt;=0.5,"CHICO",IF(H43&lt;=1,"MEDIANO","GRANDE")),MANO_DE_OBRA!$Q$10:$Q$72,0))),"")</f>
        <v>265.80149999999998</v>
      </c>
      <c r="K43" s="342">
        <f>IFERROR(IF(B43="","",_xlfn.LET(_xlpm.clave_prof,B43&amp;"|"&amp;E43,_xlpm.clave_todas,B43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43" s="75">
        <f>IFERROR(IF(B43="","",IF(I43="",0,I43)+IF(J43="",0,J43)+IF(K43="",0,K43)),"")</f>
        <v>558.05150000000003</v>
      </c>
      <c r="M43" s="75">
        <f>IFERROR(IF(L43="","",L43*$D$8),"")</f>
        <v>697.56437500000004</v>
      </c>
      <c r="N43" s="76">
        <f>IFERROR(IF(M43="","",CEILING(M43,50)),"")</f>
        <v>700</v>
      </c>
      <c r="O43" s="77">
        <v>0</v>
      </c>
      <c r="P43" s="78">
        <f>IFERROR(IF(G43="","",G43*N43*(1-O43)),"")</f>
        <v>700</v>
      </c>
      <c r="Q43" s="79"/>
    </row>
    <row r="44" spans="1:17" ht="19.5" customHeight="1" x14ac:dyDescent="0.2">
      <c r="A44" s="72" t="s">
        <v>1640</v>
      </c>
      <c r="B44" s="69" t="s">
        <v>1628</v>
      </c>
      <c r="C44" s="69">
        <v>100</v>
      </c>
      <c r="D44" s="69">
        <v>305</v>
      </c>
      <c r="E44" s="69" t="s">
        <v>97</v>
      </c>
      <c r="F44" s="69" t="s">
        <v>178</v>
      </c>
      <c r="G44" s="69">
        <v>1</v>
      </c>
      <c r="H44" s="73">
        <f>IFERROR(IF(B44="","",(C44/100)*(D44/100)),"")</f>
        <v>3.05</v>
      </c>
      <c r="I44" s="74">
        <f>IFERROR(IF(B44="","",_xlfn.LET(_xlpm.tamano,IF(H44&lt;=0.5,"CHICO",IF(H44&lt;=1,"MEDIANO","GRANDE")),_xlpm.clave,B44&amp;"|"&amp;_xlpm.tamano,_xlpm.fila,MATCH(_xlpm.clave,COSTOS_M2!$H$5:$H$67,0),_xlpm.mat_m2,INDEX(IF(F44="HUANACAXTLE",COSTOS_M2!$D$5:$D$67,IF(F44="ENCINO",COSTOS_M2!$E$5:$E$67,COSTOS_M2!$F$5:$F$67)),_xlpm.fila),_xlpm.cons_m2,INDEX(COSTOS_M2!$G$5:$G$67,_xlpm.fila),_xlpm.prof_factor,IF(AND(E44&lt;&gt;"—",E44&lt;&gt;"",ISNUMBER(E44)),POWER(E44/40,1.8),1),_xlpm.total_m2,(_xlpm.mat_m2+_xlpm.cons_m2)*H44*_xlpm.prof_factor*IF(C44&gt;70,COSTOS_M2!$B$70,1)*IF(D44&gt;244,COSTOS_M2!$B$71,1),_xlpm.total_m2)),"")</f>
        <v>1211.3075000000001</v>
      </c>
      <c r="J44" s="74">
        <f>IFERROR(IF(B44="","",INDEX(MANO_DE_OBRA!$P$10:$P$72,MATCH(B44&amp;"|"&amp;IF(H44&lt;=0.5,"CHICO",IF(H44&lt;=1,"MEDIANO","GRANDE")),MANO_DE_OBRA!$Q$10:$Q$72,0))),"")</f>
        <v>295.7955</v>
      </c>
      <c r="K44" s="342">
        <f>IFERROR(IF(B44="","",_xlfn.LET(_xlpm.clave_prof,B44&amp;"|"&amp;E44,_xlpm.clave_todas,B44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44" s="75">
        <f>IFERROR(IF(B44="","",IF(I44="",0,I44)+IF(J44="",0,J44)+IF(K44="",0,K44)),"")</f>
        <v>1507.1030000000001</v>
      </c>
      <c r="M44" s="75">
        <f>IFERROR(IF(L44="","",L44*$D$8),"")</f>
        <v>1883.8787500000001</v>
      </c>
      <c r="N44" s="76">
        <f>IFERROR(IF(M44="","",CEILING(M44,50)),"")</f>
        <v>1900</v>
      </c>
      <c r="O44" s="77">
        <v>0</v>
      </c>
      <c r="P44" s="78">
        <f>IFERROR(IF(G44="","",G44*N44*(1-O44)),"")</f>
        <v>1900</v>
      </c>
      <c r="Q44" s="79"/>
    </row>
    <row r="45" spans="1:17" ht="19.5" customHeight="1" x14ac:dyDescent="0.2">
      <c r="A45" s="72" t="s">
        <v>1640</v>
      </c>
      <c r="B45" s="69" t="s">
        <v>1626</v>
      </c>
      <c r="C45" s="69">
        <v>5</v>
      </c>
      <c r="D45" s="69">
        <v>210</v>
      </c>
      <c r="E45" s="69" t="s">
        <v>97</v>
      </c>
      <c r="F45" s="69" t="s">
        <v>178</v>
      </c>
      <c r="G45" s="69">
        <v>1</v>
      </c>
      <c r="H45" s="73">
        <f>IFERROR(IF(B45="","",(C45/100)*(D45/100)),"")</f>
        <v>0.10500000000000001</v>
      </c>
      <c r="I45" s="74">
        <f>IFERROR(IF(B45="","",_xlfn.LET(_xlpm.tamano,IF(H45&lt;=0.5,"CHICO",IF(H45&lt;=1,"MEDIANO","GRANDE")),_xlpm.clave,B45&amp;"|"&amp;_xlpm.tamano,_xlpm.fila,MATCH(_xlpm.clave,COSTOS_M2!$H$5:$H$67,0),_xlpm.mat_m2,INDEX(IF(F45="HUANACAXTLE",COSTOS_M2!$D$5:$D$67,IF(F45="ENCINO",COSTOS_M2!$E$5:$E$67,COSTOS_M2!$F$5:$F$67)),_xlpm.fila),_xlpm.cons_m2,INDEX(COSTOS_M2!$G$5:$G$67,_xlpm.fila),_xlpm.prof_factor,IF(AND(E45&lt;&gt;"—",E45&lt;&gt;"",ISNUMBER(E45)),POWER(E45/40,1.8),1),_xlpm.total_m2,(_xlpm.mat_m2+_xlpm.cons_m2)*H45*_xlpm.prof_factor*IF(C45&gt;70,COSTOS_M2!$B$70,1)*IF(D45&gt;244,COSTOS_M2!$B$71,1),_xlpm.total_m2)),"")</f>
        <v>540.75</v>
      </c>
      <c r="J45" s="74">
        <f>IFERROR(IF(B45="","",INDEX(MANO_DE_OBRA!$P$10:$P$72,MATCH(B45&amp;"|"&amp;IF(H45&lt;=0.5,"CHICO",IF(H45&lt;=1,"MEDIANO","GRANDE")),MANO_DE_OBRA!$Q$10:$Q$72,0))),"")</f>
        <v>477.459</v>
      </c>
      <c r="K45" s="342">
        <f>IFERROR(IF(B45="","",_xlfn.LET(_xlpm.clave_prof,B45&amp;"|"&amp;E45,_xlpm.clave_todas,B45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45" s="75">
        <f>IFERROR(IF(B45="","",IF(I45="",0,I45)+IF(J45="",0,J45)+IF(K45="",0,K45)),"")</f>
        <v>1018.2090000000001</v>
      </c>
      <c r="M45" s="75">
        <f>IFERROR(IF(L45="","",L45*$D$8),"")</f>
        <v>1272.76125</v>
      </c>
      <c r="N45" s="76">
        <f>IFERROR(IF(M45="","",CEILING(M45,50)),"")</f>
        <v>1300</v>
      </c>
      <c r="O45" s="77">
        <v>0</v>
      </c>
      <c r="P45" s="78">
        <f>IFERROR(IF(G45="","",G45*N45*(1-O45)),"")</f>
        <v>1300</v>
      </c>
      <c r="Q45" s="79"/>
    </row>
    <row r="46" spans="1:17" ht="19.5" customHeight="1" x14ac:dyDescent="0.2">
      <c r="A46" s="72"/>
      <c r="B46" s="83" t="s">
        <v>1632</v>
      </c>
      <c r="C46" s="424"/>
      <c r="D46" s="424"/>
      <c r="E46" s="424"/>
      <c r="F46" s="424"/>
      <c r="G46" s="424"/>
      <c r="H46" s="425"/>
      <c r="I46" s="426"/>
      <c r="J46" s="426"/>
      <c r="K46" s="427"/>
      <c r="L46" s="428"/>
      <c r="M46" s="428"/>
      <c r="N46" s="429"/>
      <c r="O46" s="430"/>
      <c r="P46" s="431"/>
      <c r="Q46" s="79"/>
    </row>
    <row r="47" spans="1:17" ht="19.5" customHeight="1" x14ac:dyDescent="0.2">
      <c r="A47" s="72" t="s">
        <v>1638</v>
      </c>
      <c r="B47" s="69" t="s">
        <v>195</v>
      </c>
      <c r="C47" s="69">
        <v>25</v>
      </c>
      <c r="D47" s="69">
        <v>250</v>
      </c>
      <c r="E47" s="69" t="s">
        <v>97</v>
      </c>
      <c r="F47" s="69" t="s">
        <v>178</v>
      </c>
      <c r="G47" s="69">
        <v>1</v>
      </c>
      <c r="H47" s="73">
        <f>IFERROR(IF(B47="","",(C47/100)*(D47/100)),"")</f>
        <v>0.625</v>
      </c>
      <c r="I47" s="74">
        <f>IFERROR(IF(B47="","",_xlfn.LET(_xlpm.tamano,IF(H47&lt;=0.5,"CHICO",IF(H47&lt;=1,"MEDIANO","GRANDE")),_xlpm.clave,B47&amp;"|"&amp;_xlpm.tamano,_xlpm.fila,MATCH(_xlpm.clave,COSTOS_M2!$H$5:$H$67,0),_xlpm.mat_m2,INDEX(IF(F47="HUANACAXTLE",COSTOS_M2!$D$5:$D$67,IF(F47="ENCINO",COSTOS_M2!$E$5:$E$67,COSTOS_M2!$F$5:$F$67)),_xlpm.fila),_xlpm.cons_m2,INDEX(COSTOS_M2!$G$5:$G$67,_xlpm.fila),_xlpm.prof_factor,IF(AND(E47&lt;&gt;"—",E47&lt;&gt;"",ISNUMBER(E47)),POWER(E47/40,1.8),1),_xlpm.total_m2,(_xlpm.mat_m2+_xlpm.cons_m2)*H47*_xlpm.prof_factor*IF(C47&gt;70,COSTOS_M2!$B$70,1)*IF(D47&gt;244,COSTOS_M2!$B$71,1),_xlpm.total_m2)),"")</f>
        <v>570.375</v>
      </c>
      <c r="J47" s="74">
        <f>IFERROR(IF(B47="","",INDEX(MANO_DE_OBRA!$P$10:$P$72,MATCH(B47&amp;"|"&amp;IF(H47&lt;=0.5,"CHICO",IF(H47&lt;=1,"MEDIANO","GRANDE")),MANO_DE_OBRA!$Q$10:$Q$72,0))),"")</f>
        <v>469.28723999999994</v>
      </c>
      <c r="K47" s="342">
        <f>IFERROR(IF(B47="","",_xlfn.LET(_xlpm.clave_prof,B47&amp;"|"&amp;E47,_xlpm.clave_todas,B47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47" s="75">
        <f>IFERROR(IF(B47="","",IF(I47="",0,I47)+IF(J47="",0,J47)+IF(K47="",0,K47)),"")</f>
        <v>1039.6622399999999</v>
      </c>
      <c r="M47" s="75">
        <f>IFERROR(IF(L47="","",L47*$D$8),"")</f>
        <v>1299.5777999999998</v>
      </c>
      <c r="N47" s="76">
        <f>IFERROR(IF(M47="","",CEILING(M47,50)),"")</f>
        <v>1300</v>
      </c>
      <c r="O47" s="77">
        <v>0</v>
      </c>
      <c r="P47" s="78">
        <f>IFERROR(IF(G47="","",G47*N47*(1-O47)),"")</f>
        <v>1300</v>
      </c>
      <c r="Q47" s="79"/>
    </row>
    <row r="48" spans="1:17" ht="19.5" customHeight="1" x14ac:dyDescent="0.2">
      <c r="A48" s="72" t="s">
        <v>1638</v>
      </c>
      <c r="B48" s="69" t="s">
        <v>196</v>
      </c>
      <c r="C48" s="69">
        <v>25</v>
      </c>
      <c r="D48" s="69">
        <v>250</v>
      </c>
      <c r="E48" s="69" t="s">
        <v>97</v>
      </c>
      <c r="F48" s="69" t="s">
        <v>178</v>
      </c>
      <c r="G48" s="69">
        <v>1</v>
      </c>
      <c r="H48" s="73">
        <f>IFERROR(IF(B48="","",(C48/100)*(D48/100)),"")</f>
        <v>0.625</v>
      </c>
      <c r="I48" s="74">
        <f>IFERROR(IF(B48="","",_xlfn.LET(_xlpm.tamano,IF(H48&lt;=0.5,"CHICO",IF(H48&lt;=1,"MEDIANO","GRANDE")),_xlpm.clave,B48&amp;"|"&amp;_xlpm.tamano,_xlpm.fila,MATCH(_xlpm.clave,COSTOS_M2!$H$5:$H$67,0),_xlpm.mat_m2,INDEX(IF(F48="HUANACAXTLE",COSTOS_M2!$D$5:$D$67,IF(F48="ENCINO",COSTOS_M2!$E$5:$E$67,COSTOS_M2!$F$5:$F$67)),_xlpm.fila),_xlpm.cons_m2,INDEX(COSTOS_M2!$G$5:$G$67,_xlpm.fila),_xlpm.prof_factor,IF(AND(E48&lt;&gt;"—",E48&lt;&gt;"",ISNUMBER(E48)),POWER(E48/40,1.8),1),_xlpm.total_m2,(_xlpm.mat_m2+_xlpm.cons_m2)*H48*_xlpm.prof_factor*IF(C48&gt;70,COSTOS_M2!$B$70,1)*IF(D48&gt;244,COSTOS_M2!$B$71,1),_xlpm.total_m2)),"")</f>
        <v>679.25</v>
      </c>
      <c r="J48" s="74">
        <f>IFERROR(IF(B48="","",INDEX(MANO_DE_OBRA!$P$10:$P$72,MATCH(B48&amp;"|"&amp;IF(H48&lt;=0.5,"CHICO",IF(H48&lt;=1,"MEDIANO","GRANDE")),MANO_DE_OBRA!$Q$10:$Q$72,0))),"")</f>
        <v>520.05040499999996</v>
      </c>
      <c r="K48" s="342">
        <f>IFERROR(IF(B48="","",_xlfn.LET(_xlpm.clave_prof,B48&amp;"|"&amp;E48,_xlpm.clave_todas,B48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48" s="75">
        <f>IFERROR(IF(B48="","",IF(I48="",0,I48)+IF(J48="",0,J48)+IF(K48="",0,K48)),"")</f>
        <v>1199.300405</v>
      </c>
      <c r="M48" s="75">
        <f>IFERROR(IF(L48="","",L48*$D$8),"")</f>
        <v>1499.1255062499999</v>
      </c>
      <c r="N48" s="76">
        <f>IFERROR(IF(M48="","",CEILING(M48,50)),"")</f>
        <v>1500</v>
      </c>
      <c r="O48" s="77">
        <v>0</v>
      </c>
      <c r="P48" s="78">
        <f>IFERROR(IF(G48="","",G48*N48*(1-O48)),"")</f>
        <v>1500</v>
      </c>
      <c r="Q48" s="79"/>
    </row>
    <row r="49" spans="1:17" ht="19.5" customHeight="1" x14ac:dyDescent="0.2">
      <c r="A49" s="72" t="s">
        <v>1638</v>
      </c>
      <c r="B49" s="69" t="s">
        <v>192</v>
      </c>
      <c r="C49" s="69">
        <v>25</v>
      </c>
      <c r="D49" s="69">
        <v>295</v>
      </c>
      <c r="E49" s="69" t="s">
        <v>97</v>
      </c>
      <c r="F49" s="69" t="s">
        <v>178</v>
      </c>
      <c r="G49" s="69">
        <v>2</v>
      </c>
      <c r="H49" s="73">
        <f>IFERROR(IF(B49="","",(C49/100)*(D49/100)),"")</f>
        <v>0.73750000000000004</v>
      </c>
      <c r="I49" s="74">
        <f>IFERROR(IF(B49="","",_xlfn.LET(_xlpm.tamano,IF(H49&lt;=0.5,"CHICO",IF(H49&lt;=1,"MEDIANO","GRANDE")),_xlpm.clave,B49&amp;"|"&amp;_xlpm.tamano,_xlpm.fila,MATCH(_xlpm.clave,COSTOS_M2!$H$5:$H$67,0),_xlpm.mat_m2,INDEX(IF(F49="HUANACAXTLE",COSTOS_M2!$D$5:$D$67,IF(F49="ENCINO",COSTOS_M2!$E$5:$E$67,COSTOS_M2!$F$5:$F$67)),_xlpm.fila),_xlpm.cons_m2,INDEX(COSTOS_M2!$G$5:$G$67,_xlpm.fila),_xlpm.prof_factor,IF(AND(E49&lt;&gt;"—",E49&lt;&gt;"",ISNUMBER(E49)),POWER(E49/40,1.8),1),_xlpm.total_m2,(_xlpm.mat_m2+_xlpm.cons_m2)*H49*_xlpm.prof_factor*IF(C49&gt;70,COSTOS_M2!$B$70,1)*IF(D49&gt;244,COSTOS_M2!$B$71,1),_xlpm.total_m2)),"")</f>
        <v>697.97</v>
      </c>
      <c r="J49" s="74">
        <f>IFERROR(IF(B49="","",INDEX(MANO_DE_OBRA!$P$10:$P$72,MATCH(B49&amp;"|"&amp;IF(H49&lt;=0.5,"CHICO",IF(H49&lt;=1,"MEDIANO","GRANDE")),MANO_DE_OBRA!$Q$10:$Q$72,0))),"")</f>
        <v>511.74689999999987</v>
      </c>
      <c r="K49" s="342">
        <f>IFERROR(IF(B49="","",_xlfn.LET(_xlpm.clave_prof,B49&amp;"|"&amp;E49,_xlpm.clave_todas,B49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49" s="75">
        <f>IFERROR(IF(B49="","",IF(I49="",0,I49)+IF(J49="",0,J49)+IF(K49="",0,K49)),"")</f>
        <v>1209.7168999999999</v>
      </c>
      <c r="M49" s="75">
        <f>IFERROR(IF(L49="","",L49*$D$8),"")</f>
        <v>1512.1461249999998</v>
      </c>
      <c r="N49" s="76">
        <f>IFERROR(IF(M49="","",CEILING(M49,50)),"")</f>
        <v>1550</v>
      </c>
      <c r="O49" s="77">
        <v>0</v>
      </c>
      <c r="P49" s="78">
        <f>IFERROR(IF(G49="","",G49*N49*(1-O49)),"")</f>
        <v>3100</v>
      </c>
      <c r="Q49" s="79"/>
    </row>
    <row r="50" spans="1:17" ht="19.5" customHeight="1" x14ac:dyDescent="0.2">
      <c r="A50" s="72" t="s">
        <v>1638</v>
      </c>
      <c r="B50" s="69" t="s">
        <v>1622</v>
      </c>
      <c r="C50" s="69">
        <v>25</v>
      </c>
      <c r="D50" s="69">
        <v>295</v>
      </c>
      <c r="E50" s="69" t="s">
        <v>97</v>
      </c>
      <c r="F50" s="69" t="s">
        <v>178</v>
      </c>
      <c r="G50" s="69">
        <v>1</v>
      </c>
      <c r="H50" s="73">
        <f>IFERROR(IF(B50="","",(C50/100)*(D50/100)),"")</f>
        <v>0.73750000000000004</v>
      </c>
      <c r="I50" s="74">
        <f>IFERROR(IF(B50="","",_xlfn.LET(_xlpm.tamano,IF(H50&lt;=0.5,"CHICO",IF(H50&lt;=1,"MEDIANO","GRANDE")),_xlpm.clave,B50&amp;"|"&amp;_xlpm.tamano,_xlpm.fila,MATCH(_xlpm.clave,COSTOS_M2!$H$5:$H$67,0),_xlpm.mat_m2,INDEX(IF(F50="HUANACAXTLE",COSTOS_M2!$D$5:$D$67,IF(F50="ENCINO",COSTOS_M2!$E$5:$E$67,COSTOS_M2!$F$5:$F$67)),_xlpm.fila),_xlpm.cons_m2,INDEX(COSTOS_M2!$G$5:$G$67,_xlpm.fila),_xlpm.prof_factor,IF(AND(E50&lt;&gt;"—",E50&lt;&gt;"",ISNUMBER(E50)),POWER(E50/40,1.8),1),_xlpm.total_m2,(_xlpm.mat_m2+_xlpm.cons_m2)*H50*_xlpm.prof_factor*IF(C50&gt;70,COSTOS_M2!$B$70,1)*IF(D50&gt;244,COSTOS_M2!$B$71,1),_xlpm.total_m2)),"")</f>
        <v>752.61874999999998</v>
      </c>
      <c r="J50" s="74">
        <f>IFERROR(IF(B50="","",INDEX(MANO_DE_OBRA!$P$10:$P$72,MATCH(B50&amp;"|"&amp;IF(H50&lt;=0.5,"CHICO",IF(H50&lt;=1,"MEDIANO","GRANDE")),MANO_DE_OBRA!$Q$10:$Q$72,0))),"")</f>
        <v>558.22199999999987</v>
      </c>
      <c r="K50" s="342">
        <f>IFERROR(IF(B50="","",_xlfn.LET(_xlpm.clave_prof,B50&amp;"|"&amp;E50,_xlpm.clave_todas,B50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50" s="75">
        <f>IFERROR(IF(B50="","",IF(I50="",0,I50)+IF(J50="",0,J50)+IF(K50="",0,K50)),"")</f>
        <v>1310.8407499999998</v>
      </c>
      <c r="M50" s="75">
        <f>IFERROR(IF(L50="","",L50*$D$8),"")</f>
        <v>1638.5509374999997</v>
      </c>
      <c r="N50" s="76">
        <f>IFERROR(IF(M50="","",CEILING(M50,50)),"")</f>
        <v>1650</v>
      </c>
      <c r="O50" s="77">
        <v>0</v>
      </c>
      <c r="P50" s="78">
        <f>IFERROR(IF(G50="","",G50*N50*(1-O50)),"")</f>
        <v>1650</v>
      </c>
      <c r="Q50" s="79"/>
    </row>
    <row r="51" spans="1:17" ht="19.5" customHeight="1" x14ac:dyDescent="0.2">
      <c r="A51" s="72" t="s">
        <v>1638</v>
      </c>
      <c r="B51" s="69" t="s">
        <v>197</v>
      </c>
      <c r="C51" s="69">
        <v>25</v>
      </c>
      <c r="D51" s="69">
        <v>125</v>
      </c>
      <c r="E51" s="69" t="s">
        <v>97</v>
      </c>
      <c r="F51" s="69" t="s">
        <v>178</v>
      </c>
      <c r="G51" s="69">
        <v>2</v>
      </c>
      <c r="H51" s="73">
        <f>IFERROR(IF(B51="","",(C51/100)*(D51/100)),"")</f>
        <v>0.3125</v>
      </c>
      <c r="I51" s="74">
        <f>IFERROR(IF(B51="","",_xlfn.LET(_xlpm.tamano,IF(H51&lt;=0.5,"CHICO",IF(H51&lt;=1,"MEDIANO","GRANDE")),_xlpm.clave,B51&amp;"|"&amp;_xlpm.tamano,_xlpm.fila,MATCH(_xlpm.clave,COSTOS_M2!$H$5:$H$67,0),_xlpm.mat_m2,INDEX(IF(F51="HUANACAXTLE",COSTOS_M2!$D$5:$D$67,IF(F51="ENCINO",COSTOS_M2!$E$5:$E$67,COSTOS_M2!$F$5:$F$67)),_xlpm.fila),_xlpm.cons_m2,INDEX(COSTOS_M2!$G$5:$G$67,_xlpm.fila),_xlpm.prof_factor,IF(AND(E51&lt;&gt;"—",E51&lt;&gt;"",ISNUMBER(E51)),POWER(E51/40,1.8),1),_xlpm.total_m2,(_xlpm.mat_m2+_xlpm.cons_m2)*H51*_xlpm.prof_factor*IF(C51&gt;70,COSTOS_M2!$B$70,1)*IF(D51&gt;244,COSTOS_M2!$B$71,1),_xlpm.total_m2)),"")</f>
        <v>245.625</v>
      </c>
      <c r="J51" s="74">
        <f>IFERROR(IF(B51="","",INDEX(MANO_DE_OBRA!$P$10:$P$72,MATCH(B51&amp;"|"&amp;IF(H51&lt;=0.5,"CHICO",IF(H51&lt;=1,"MEDIANO","GRANDE")),MANO_DE_OBRA!$Q$10:$Q$72,0))),"")</f>
        <v>292.24064999999996</v>
      </c>
      <c r="K51" s="342">
        <f>IFERROR(IF(B51="","",_xlfn.LET(_xlpm.clave_prof,B51&amp;"|"&amp;E51,_xlpm.clave_todas,B51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51" s="75">
        <f>IFERROR(IF(B51="","",IF(I51="",0,I51)+IF(J51="",0,J51)+IF(K51="",0,K51)),"")</f>
        <v>537.86564999999996</v>
      </c>
      <c r="M51" s="75">
        <f>IFERROR(IF(L51="","",L51*$D$8),"")</f>
        <v>672.33206249999989</v>
      </c>
      <c r="N51" s="76">
        <f>IFERROR(IF(M51="","",CEILING(M51,50)),"")</f>
        <v>700</v>
      </c>
      <c r="O51" s="77">
        <v>0</v>
      </c>
      <c r="P51" s="78">
        <f>IFERROR(IF(G51="","",G51*N51*(1-O51)),"")</f>
        <v>1400</v>
      </c>
      <c r="Q51" s="79"/>
    </row>
    <row r="52" spans="1:17" ht="19.5" customHeight="1" x14ac:dyDescent="0.2">
      <c r="A52" s="72" t="s">
        <v>1638</v>
      </c>
      <c r="B52" s="69" t="s">
        <v>1623</v>
      </c>
      <c r="C52" s="69">
        <v>25</v>
      </c>
      <c r="D52" s="69">
        <v>125</v>
      </c>
      <c r="E52" s="69" t="s">
        <v>97</v>
      </c>
      <c r="F52" s="69" t="s">
        <v>178</v>
      </c>
      <c r="G52" s="69">
        <v>6</v>
      </c>
      <c r="H52" s="73">
        <f>IFERROR(IF(B52="","",(C52/100)*(D52/100)),"")</f>
        <v>0.3125</v>
      </c>
      <c r="I52" s="74">
        <f>IFERROR(IF(B52="","",_xlfn.LET(_xlpm.tamano,IF(H52&lt;=0.5,"CHICO",IF(H52&lt;=1,"MEDIANO","GRANDE")),_xlpm.clave,B52&amp;"|"&amp;_xlpm.tamano,_xlpm.fila,MATCH(_xlpm.clave,COSTOS_M2!$H$5:$H$67,0),_xlpm.mat_m2,INDEX(IF(F52="HUANACAXTLE",COSTOS_M2!$D$5:$D$67,IF(F52="ENCINO",COSTOS_M2!$E$5:$E$67,COSTOS_M2!$F$5:$F$67)),_xlpm.fila),_xlpm.cons_m2,INDEX(COSTOS_M2!$G$5:$G$67,_xlpm.fila),_xlpm.prof_factor,IF(AND(E52&lt;&gt;"—",E52&lt;&gt;"",ISNUMBER(E52)),POWER(E52/40,1.8),1),_xlpm.total_m2,(_xlpm.mat_m2+_xlpm.cons_m2)*H52*_xlpm.prof_factor*IF(C52&gt;70,COSTOS_M2!$B$70,1)*IF(D52&gt;244,COSTOS_M2!$B$71,1),_xlpm.total_m2)),"")</f>
        <v>260.9375</v>
      </c>
      <c r="J52" s="74">
        <f>IFERROR(IF(B52="","",INDEX(MANO_DE_OBRA!$P$10:$P$72,MATCH(B52&amp;"|"&amp;IF(H52&lt;=0.5,"CHICO",IF(H52&lt;=1,"MEDIANO","GRANDE")),MANO_DE_OBRA!$Q$10:$Q$72,0))),"")</f>
        <v>265.80149999999998</v>
      </c>
      <c r="K52" s="342">
        <f>IFERROR(IF(B52="","",_xlfn.LET(_xlpm.clave_prof,B52&amp;"|"&amp;E52,_xlpm.clave_todas,B52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52" s="75">
        <f>IFERROR(IF(B52="","",IF(I52="",0,I52)+IF(J52="",0,J52)+IF(K52="",0,K52)),"")</f>
        <v>526.73900000000003</v>
      </c>
      <c r="M52" s="75">
        <f>IFERROR(IF(L52="","",L52*$D$8),"")</f>
        <v>658.42375000000004</v>
      </c>
      <c r="N52" s="76">
        <f>IFERROR(IF(M52="","",CEILING(M52,50)),"")</f>
        <v>700</v>
      </c>
      <c r="O52" s="77">
        <v>0</v>
      </c>
      <c r="P52" s="78">
        <f>IFERROR(IF(G52="","",G52*N52*(1-O52)),"")</f>
        <v>4200</v>
      </c>
      <c r="Q52" s="79"/>
    </row>
    <row r="53" spans="1:17" ht="19.5" customHeight="1" x14ac:dyDescent="0.2">
      <c r="A53" s="72" t="s">
        <v>1638</v>
      </c>
      <c r="B53" s="69" t="s">
        <v>200</v>
      </c>
      <c r="C53" s="69">
        <v>65</v>
      </c>
      <c r="D53" s="69">
        <v>75</v>
      </c>
      <c r="E53" s="69" t="s">
        <v>97</v>
      </c>
      <c r="F53" s="69" t="s">
        <v>178</v>
      </c>
      <c r="G53" s="69">
        <v>4</v>
      </c>
      <c r="H53" s="73">
        <f>IFERROR(IF(B53="","",(C53/100)*(D53/100)),"")</f>
        <v>0.48750000000000004</v>
      </c>
      <c r="I53" s="74">
        <f>IFERROR(IF(B53="","",_xlfn.LET(_xlpm.tamano,IF(H53&lt;=0.5,"CHICO",IF(H53&lt;=1,"MEDIANO","GRANDE")),_xlpm.clave,B53&amp;"|"&amp;_xlpm.tamano,_xlpm.fila,MATCH(_xlpm.clave,COSTOS_M2!$H$5:$H$67,0),_xlpm.mat_m2,INDEX(IF(F53="HUANACAXTLE",COSTOS_M2!$D$5:$D$67,IF(F53="ENCINO",COSTOS_M2!$E$5:$E$67,COSTOS_M2!$F$5:$F$67)),_xlpm.fila),_xlpm.cons_m2,INDEX(COSTOS_M2!$G$5:$G$67,_xlpm.fila),_xlpm.prof_factor,IF(AND(E53&lt;&gt;"—",E53&lt;&gt;"",ISNUMBER(E53)),POWER(E53/40,1.8),1),_xlpm.total_m2,(_xlpm.mat_m2+_xlpm.cons_m2)*H53*_xlpm.prof_factor*IF(C53&gt;70,COSTOS_M2!$B$70,1)*IF(D53&gt;244,COSTOS_M2!$B$71,1),_xlpm.total_m2)),"")</f>
        <v>436.31250000000006</v>
      </c>
      <c r="J53" s="74">
        <f>IFERROR(IF(B53="","",INDEX(MANO_DE_OBRA!$P$10:$P$72,MATCH(B53&amp;"|"&amp;IF(H53&lt;=0.5,"CHICO",IF(H53&lt;=1,"MEDIANO","GRANDE")),MANO_DE_OBRA!$Q$10:$Q$72,0))),"")</f>
        <v>489.59528999999998</v>
      </c>
      <c r="K53" s="342">
        <f>IFERROR(IF(B53="","",_xlfn.LET(_xlpm.clave_prof,B53&amp;"|"&amp;E53,_xlpm.clave_todas,B53&amp;"|TODAS",_xlpm.herr_prof,SUMIFS(HERRAJES!$H$5:$H$36,HERRAJES!$J$5:$J$36,_xlpm.clave_prof),_xlpm.herr_todas,SUMIFS(HERRAJES!$H$5:$H$36,HERRAJES!$J$5:$J$36,_xlpm.clave_todas),IF(_xlpm.herr_prof&gt;0,_xlpm.herr_prof,_xlpm.herr_todas))),"")</f>
        <v>311.39999999999998</v>
      </c>
      <c r="L53" s="75">
        <f>IFERROR(IF(B53="","",IF(I53="",0,I53)+IF(J53="",0,J53)+IF(K53="",0,K53)),"")</f>
        <v>1237.3077899999998</v>
      </c>
      <c r="M53" s="75">
        <f>IFERROR(IF(L53="","",L53*$D$8),"")</f>
        <v>1546.6347374999998</v>
      </c>
      <c r="N53" s="76">
        <f>IFERROR(IF(M53="","",CEILING(M53,50)),"")</f>
        <v>1550</v>
      </c>
      <c r="O53" s="77">
        <v>0</v>
      </c>
      <c r="P53" s="78">
        <f>IFERROR(IF(G53="","",G53*N53*(1-O53)),"")</f>
        <v>6200</v>
      </c>
      <c r="Q53" s="79"/>
    </row>
    <row r="54" spans="1:17" ht="19.5" customHeight="1" x14ac:dyDescent="0.2">
      <c r="A54" s="72" t="s">
        <v>1638</v>
      </c>
      <c r="B54" s="69" t="s">
        <v>1624</v>
      </c>
      <c r="C54" s="69">
        <v>5</v>
      </c>
      <c r="D54" s="69">
        <v>960</v>
      </c>
      <c r="E54" s="69" t="s">
        <v>97</v>
      </c>
      <c r="F54" s="69" t="s">
        <v>178</v>
      </c>
      <c r="G54" s="69">
        <v>1</v>
      </c>
      <c r="H54" s="73">
        <f>IFERROR(IF(B54="","",(C54/100)*(D54/100)),"")</f>
        <v>0.48</v>
      </c>
      <c r="I54" s="74">
        <f>IFERROR(IF(B54="","",_xlfn.LET(_xlpm.tamano,IF(H54&lt;=0.5,"CHICO",IF(H54&lt;=1,"MEDIANO","GRANDE")),_xlpm.clave,B54&amp;"|"&amp;_xlpm.tamano,_xlpm.fila,MATCH(_xlpm.clave,COSTOS_M2!$H$5:$H$67,0),_xlpm.mat_m2,INDEX(IF(F54="HUANACAXTLE",COSTOS_M2!$D$5:$D$67,IF(F54="ENCINO",COSTOS_M2!$E$5:$E$67,COSTOS_M2!$F$5:$F$67)),_xlpm.fila),_xlpm.cons_m2,INDEX(COSTOS_M2!$G$5:$G$67,_xlpm.fila),_xlpm.prof_factor,IF(AND(E54&lt;&gt;"—",E54&lt;&gt;"",ISNUMBER(E54)),POWER(E54/40,1.8),1),_xlpm.total_m2,(_xlpm.mat_m2+_xlpm.cons_m2)*H54*_xlpm.prof_factor*IF(C54&gt;70,COSTOS_M2!$B$70,1)*IF(D54&gt;244,COSTOS_M2!$B$71,1),_xlpm.total_m2)),"")</f>
        <v>3213.6</v>
      </c>
      <c r="J54" s="74">
        <f>IFERROR(IF(B54="","",INDEX(MANO_DE_OBRA!$P$10:$P$72,MATCH(B54&amp;"|"&amp;IF(H54&lt;=0.5,"CHICO",IF(H54&lt;=1,"MEDIANO","GRANDE")),MANO_DE_OBRA!$Q$10:$Q$72,0))),"")</f>
        <v>356.38649999999996</v>
      </c>
      <c r="K54" s="342">
        <f>IFERROR(IF(B54="","",_xlfn.LET(_xlpm.clave_prof,B54&amp;"|"&amp;E54,_xlpm.clave_todas,B54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54" s="75">
        <f>IFERROR(IF(B54="","",IF(I54="",0,I54)+IF(J54="",0,J54)+IF(K54="",0,K54)),"")</f>
        <v>3569.9865</v>
      </c>
      <c r="M54" s="75">
        <f>IFERROR(IF(L54="","",L54*$D$8),"")</f>
        <v>4462.4831249999997</v>
      </c>
      <c r="N54" s="76">
        <f>IFERROR(IF(M54="","",CEILING(M54,50)),"")</f>
        <v>4500</v>
      </c>
      <c r="O54" s="77">
        <v>0</v>
      </c>
      <c r="P54" s="78">
        <f>IFERROR(IF(G54="","",G54*N54*(1-O54)),"")</f>
        <v>4500</v>
      </c>
      <c r="Q54" s="79"/>
    </row>
    <row r="55" spans="1:17" ht="19.5" customHeight="1" x14ac:dyDescent="0.2">
      <c r="A55" s="72" t="s">
        <v>1638</v>
      </c>
      <c r="B55" s="69" t="s">
        <v>1628</v>
      </c>
      <c r="C55" s="69">
        <v>250</v>
      </c>
      <c r="D55" s="69">
        <v>305</v>
      </c>
      <c r="E55" s="69" t="s">
        <v>97</v>
      </c>
      <c r="F55" s="69" t="s">
        <v>178</v>
      </c>
      <c r="G55" s="69">
        <v>1</v>
      </c>
      <c r="H55" s="73">
        <f>IFERROR(IF(B55="","",(C55/100)*(D55/100)),"")</f>
        <v>7.625</v>
      </c>
      <c r="I55" s="74">
        <f>IFERROR(IF(B55="","",_xlfn.LET(_xlpm.tamano,IF(H55&lt;=0.5,"CHICO",IF(H55&lt;=1,"MEDIANO","GRANDE")),_xlpm.clave,B55&amp;"|"&amp;_xlpm.tamano,_xlpm.fila,MATCH(_xlpm.clave,COSTOS_M2!$H$5:$H$67,0),_xlpm.mat_m2,INDEX(IF(F55="HUANACAXTLE",COSTOS_M2!$D$5:$D$67,IF(F55="ENCINO",COSTOS_M2!$E$5:$E$67,COSTOS_M2!$F$5:$F$67)),_xlpm.fila),_xlpm.cons_m2,INDEX(COSTOS_M2!$G$5:$G$67,_xlpm.fila),_xlpm.prof_factor,IF(AND(E55&lt;&gt;"—",E55&lt;&gt;"",ISNUMBER(E55)),POWER(E55/40,1.8),1),_xlpm.total_m2,(_xlpm.mat_m2+_xlpm.cons_m2)*H55*_xlpm.prof_factor*IF(C55&gt;70,COSTOS_M2!$B$70,1)*IF(D55&gt;244,COSTOS_M2!$B$71,1),_xlpm.total_m2)),"")</f>
        <v>3028.2687500000002</v>
      </c>
      <c r="J55" s="74">
        <f>IFERROR(IF(B55="","",INDEX(MANO_DE_OBRA!$P$10:$P$72,MATCH(B55&amp;"|"&amp;IF(H55&lt;=0.5,"CHICO",IF(H55&lt;=1,"MEDIANO","GRANDE")),MANO_DE_OBRA!$Q$10:$Q$72,0))),"")</f>
        <v>295.7955</v>
      </c>
      <c r="K55" s="342">
        <f>IFERROR(IF(B55="","",_xlfn.LET(_xlpm.clave_prof,B55&amp;"|"&amp;E55,_xlpm.clave_todas,B55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55" s="75">
        <f>IFERROR(IF(B55="","",IF(I55="",0,I55)+IF(J55="",0,J55)+IF(K55="",0,K55)),"")</f>
        <v>3324.0642500000004</v>
      </c>
      <c r="M55" s="75">
        <f>IFERROR(IF(L55="","",L55*$D$8),"")</f>
        <v>4155.0803125000002</v>
      </c>
      <c r="N55" s="76">
        <f>IFERROR(IF(M55="","",CEILING(M55,50)),"")</f>
        <v>4200</v>
      </c>
      <c r="O55" s="77">
        <v>0</v>
      </c>
      <c r="P55" s="78">
        <f>IFERROR(IF(G55="","",G55*N55*(1-O55)),"")</f>
        <v>4200</v>
      </c>
      <c r="Q55" s="79"/>
    </row>
    <row r="56" spans="1:17" ht="19.5" customHeight="1" x14ac:dyDescent="0.2">
      <c r="A56" s="72" t="s">
        <v>1638</v>
      </c>
      <c r="B56" s="69" t="s">
        <v>1626</v>
      </c>
      <c r="C56" s="69">
        <v>5</v>
      </c>
      <c r="D56" s="69">
        <v>500</v>
      </c>
      <c r="E56" s="69" t="s">
        <v>97</v>
      </c>
      <c r="F56" s="69" t="s">
        <v>178</v>
      </c>
      <c r="G56" s="69">
        <v>1</v>
      </c>
      <c r="H56" s="73">
        <f>IFERROR(IF(B56="","",(C56/100)*(D56/100)),"")</f>
        <v>0.25</v>
      </c>
      <c r="I56" s="74">
        <f>IFERROR(IF(B56="","",_xlfn.LET(_xlpm.tamano,IF(H56&lt;=0.5,"CHICO",IF(H56&lt;=1,"MEDIANO","GRANDE")),_xlpm.clave,B56&amp;"|"&amp;_xlpm.tamano,_xlpm.fila,MATCH(_xlpm.clave,COSTOS_M2!$H$5:$H$67,0),_xlpm.mat_m2,INDEX(IF(F56="HUANACAXTLE",COSTOS_M2!$D$5:$D$67,IF(F56="ENCINO",COSTOS_M2!$E$5:$E$67,COSTOS_M2!$F$5:$F$67)),_xlpm.fila),_xlpm.cons_m2,INDEX(COSTOS_M2!$G$5:$G$67,_xlpm.fila),_xlpm.prof_factor,IF(AND(E56&lt;&gt;"—",E56&lt;&gt;"",ISNUMBER(E56)),POWER(E56/40,1.8),1),_xlpm.total_m2,(_xlpm.mat_m2+_xlpm.cons_m2)*H56*_xlpm.prof_factor*IF(C56&gt;70,COSTOS_M2!$B$70,1)*IF(D56&gt;244,COSTOS_M2!$B$71,1),_xlpm.total_m2)),"")</f>
        <v>1673.75</v>
      </c>
      <c r="J56" s="74">
        <f>IFERROR(IF(B56="","",INDEX(MANO_DE_OBRA!$P$10:$P$72,MATCH(B56&amp;"|"&amp;IF(H56&lt;=0.5,"CHICO",IF(H56&lt;=1,"MEDIANO","GRANDE")),MANO_DE_OBRA!$Q$10:$Q$72,0))),"")</f>
        <v>477.459</v>
      </c>
      <c r="K56" s="342">
        <f>IFERROR(IF(B56="","",_xlfn.LET(_xlpm.clave_prof,B56&amp;"|"&amp;E56,_xlpm.clave_todas,B56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56" s="75">
        <f>IFERROR(IF(B56="","",IF(I56="",0,I56)+IF(J56="",0,J56)+IF(K56="",0,K56)),"")</f>
        <v>2151.2089999999998</v>
      </c>
      <c r="M56" s="75">
        <f>IFERROR(IF(L56="","",L56*$D$8),"")</f>
        <v>2689.0112499999996</v>
      </c>
      <c r="N56" s="76">
        <f>IFERROR(IF(M56="","",CEILING(M56,50)),"")</f>
        <v>2700</v>
      </c>
      <c r="O56" s="77">
        <v>0</v>
      </c>
      <c r="P56" s="78">
        <f>IFERROR(IF(G56="","",G56*N56*(1-O56)),"")</f>
        <v>2700</v>
      </c>
      <c r="Q56" s="79"/>
    </row>
    <row r="57" spans="1:17" ht="19.5" customHeight="1" x14ac:dyDescent="0.2">
      <c r="A57" s="72" t="s">
        <v>1639</v>
      </c>
      <c r="B57" s="432" t="s">
        <v>1647</v>
      </c>
      <c r="C57" s="69"/>
      <c r="D57" s="69"/>
      <c r="E57" s="69" t="s">
        <v>97</v>
      </c>
      <c r="F57" s="69"/>
      <c r="G57" s="69"/>
      <c r="H57" s="73">
        <f>IFERROR(IF(B57="","",(C57/100)*(D57/100)),"")</f>
        <v>0</v>
      </c>
      <c r="I57" s="74" t="str">
        <f>IFERROR(IF(B57="","",_xlfn.LET(_xlpm.tamano,IF(H57&lt;=0.5,"CHICO",IF(H57&lt;=1,"MEDIANO","GRANDE")),_xlpm.clave,B57&amp;"|"&amp;_xlpm.tamano,_xlpm.fila,MATCH(_xlpm.clave,COSTOS_M2!$H$5:$H$67,0),_xlpm.mat_m2,INDEX(IF(F57="HUANACAXTLE",COSTOS_M2!$D$5:$D$67,IF(F57="ENCINO",COSTOS_M2!$E$5:$E$67,COSTOS_M2!$F$5:$F$67)),_xlpm.fila),_xlpm.cons_m2,INDEX(COSTOS_M2!$G$5:$G$67,_xlpm.fila),_xlpm.prof_factor,IF(AND(E57&lt;&gt;"—",E57&lt;&gt;"",ISNUMBER(E57)),POWER(E57/40,1.8),1),_xlpm.total_m2,(_xlpm.mat_m2+_xlpm.cons_m2)*H57*_xlpm.prof_factor*IF(C57&gt;70,COSTOS_M2!$B$70,1)*IF(D57&gt;244,COSTOS_M2!$B$71,1),_xlpm.total_m2)),"")</f>
        <v/>
      </c>
      <c r="J57" s="74" t="str">
        <f>IFERROR(IF(B57="","",INDEX(MANO_DE_OBRA!$P$10:$P$72,MATCH(B57&amp;"|"&amp;IF(H57&lt;=0.5,"CHICO",IF(H57&lt;=1,"MEDIANO","GRANDE")),MANO_DE_OBRA!$Q$10:$Q$72,0))),"")</f>
        <v/>
      </c>
      <c r="K57" s="342">
        <f>IFERROR(IF(B57="","",_xlfn.LET(_xlpm.clave_prof,B57&amp;"|"&amp;E57,_xlpm.clave_todas,B57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57" s="75">
        <f>IFERROR(IF(B57="","",IF(I57="",0,I57)+IF(J57="",0,J57)+IF(K57="",0,K57)),"")</f>
        <v>0</v>
      </c>
      <c r="M57" s="75">
        <f>IFERROR(IF(L57="","",L57*$D$8),"")</f>
        <v>0</v>
      </c>
      <c r="N57" s="76">
        <f>IFERROR(IF(M57="","",CEILING(M57,50)),"")</f>
        <v>0</v>
      </c>
      <c r="O57" s="77"/>
      <c r="P57" s="78" t="str">
        <f>IFERROR(IF(G57="","",G57*N57*(1-O57)),"")</f>
        <v/>
      </c>
      <c r="Q57" s="79"/>
    </row>
    <row r="58" spans="1:17" ht="19.5" customHeight="1" x14ac:dyDescent="0.2">
      <c r="A58" s="72" t="s">
        <v>1639</v>
      </c>
      <c r="B58" s="432" t="s">
        <v>1648</v>
      </c>
      <c r="C58" s="69"/>
      <c r="D58" s="69"/>
      <c r="E58" s="69" t="s">
        <v>97</v>
      </c>
      <c r="F58" s="69"/>
      <c r="G58" s="69"/>
      <c r="H58" s="73">
        <f>IFERROR(IF(B58="","",(C58/100)*(D58/100)),"")</f>
        <v>0</v>
      </c>
      <c r="I58" s="74" t="str">
        <f>IFERROR(IF(B58="","",_xlfn.LET(_xlpm.tamano,IF(H58&lt;=0.5,"CHICO",IF(H58&lt;=1,"MEDIANO","GRANDE")),_xlpm.clave,B58&amp;"|"&amp;_xlpm.tamano,_xlpm.fila,MATCH(_xlpm.clave,COSTOS_M2!$H$5:$H$67,0),_xlpm.mat_m2,INDEX(IF(F58="HUANACAXTLE",COSTOS_M2!$D$5:$D$67,IF(F58="ENCINO",COSTOS_M2!$E$5:$E$67,COSTOS_M2!$F$5:$F$67)),_xlpm.fila),_xlpm.cons_m2,INDEX(COSTOS_M2!$G$5:$G$67,_xlpm.fila),_xlpm.prof_factor,IF(AND(E58&lt;&gt;"—",E58&lt;&gt;"",ISNUMBER(E58)),POWER(E58/40,1.8),1),_xlpm.total_m2,(_xlpm.mat_m2+_xlpm.cons_m2)*H58*_xlpm.prof_factor*IF(C58&gt;70,COSTOS_M2!$B$70,1)*IF(D58&gt;244,COSTOS_M2!$B$71,1),_xlpm.total_m2)),"")</f>
        <v/>
      </c>
      <c r="J58" s="74" t="str">
        <f>IFERROR(IF(B58="","",INDEX(MANO_DE_OBRA!$P$10:$P$72,MATCH(B58&amp;"|"&amp;IF(H58&lt;=0.5,"CHICO",IF(H58&lt;=1,"MEDIANO","GRANDE")),MANO_DE_OBRA!$Q$10:$Q$72,0))),"")</f>
        <v/>
      </c>
      <c r="K58" s="342">
        <f>IFERROR(IF(B58="","",_xlfn.LET(_xlpm.clave_prof,B58&amp;"|"&amp;E58,_xlpm.clave_todas,B58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58" s="75">
        <f>IFERROR(IF(B58="","",IF(I58="",0,I58)+IF(J58="",0,J58)+IF(K58="",0,K58)),"")</f>
        <v>0</v>
      </c>
      <c r="M58" s="75">
        <f>IFERROR(IF(L58="","",L58*$D$8),"")</f>
        <v>0</v>
      </c>
      <c r="N58" s="76">
        <f>IFERROR(IF(M58="","",CEILING(M58,50)),"")</f>
        <v>0</v>
      </c>
      <c r="O58" s="77"/>
      <c r="P58" s="78" t="str">
        <f>IFERROR(IF(G58="","",G58*N58*(1-O58)),"")</f>
        <v/>
      </c>
      <c r="Q58" s="79"/>
    </row>
    <row r="59" spans="1:17" ht="19.5" customHeight="1" x14ac:dyDescent="0.2">
      <c r="A59" s="72"/>
      <c r="B59" s="83" t="s">
        <v>1633</v>
      </c>
      <c r="C59" s="424"/>
      <c r="D59" s="424"/>
      <c r="E59" s="424"/>
      <c r="F59" s="424"/>
      <c r="G59" s="424"/>
      <c r="H59" s="425">
        <f>IFERROR(IF(B59="","",(C59/100)*(D59/100)),"")</f>
        <v>0</v>
      </c>
      <c r="I59" s="426"/>
      <c r="J59" s="426"/>
      <c r="K59" s="427"/>
      <c r="L59" s="428"/>
      <c r="M59" s="428"/>
      <c r="N59" s="429"/>
      <c r="O59" s="430"/>
      <c r="P59" s="431"/>
      <c r="Q59" s="79"/>
    </row>
    <row r="60" spans="1:17" ht="19.5" customHeight="1" x14ac:dyDescent="0.2">
      <c r="A60" s="72"/>
      <c r="B60" s="69" t="s">
        <v>195</v>
      </c>
      <c r="C60" s="69">
        <v>85</v>
      </c>
      <c r="D60" s="69">
        <v>200</v>
      </c>
      <c r="E60" s="69" t="s">
        <v>97</v>
      </c>
      <c r="F60" s="69" t="s">
        <v>178</v>
      </c>
      <c r="G60" s="69">
        <v>1</v>
      </c>
      <c r="H60" s="73">
        <f>IFERROR(IF(B60="","",(C60/100)*(D60/100)),"")</f>
        <v>1.7</v>
      </c>
      <c r="I60" s="74">
        <f>IFERROR(IF(B60="","",_xlfn.LET(_xlpm.tamano,IF(H60&lt;=0.5,"CHICO",IF(H60&lt;=1,"MEDIANO","GRANDE")),_xlpm.clave,B60&amp;"|"&amp;_xlpm.tamano,_xlpm.fila,MATCH(_xlpm.clave,COSTOS_M2!$H$5:$H$67,0),_xlpm.mat_m2,INDEX(IF(F60="HUANACAXTLE",COSTOS_M2!$D$5:$D$67,IF(F60="ENCINO",COSTOS_M2!$E$5:$E$67,COSTOS_M2!$F$5:$F$67)),_xlpm.fila),_xlpm.cons_m2,INDEX(COSTOS_M2!$G$5:$G$67,_xlpm.fila),_xlpm.prof_factor,IF(AND(E60&lt;&gt;"—",E60&lt;&gt;"",ISNUMBER(E60)),POWER(E60/40,1.8),1),_xlpm.total_m2,(_xlpm.mat_m2+_xlpm.cons_m2)*H60*_xlpm.prof_factor*IF(C60&gt;70,COSTOS_M2!$B$70,1)*IF(D60&gt;244,COSTOS_M2!$B$71,1),_xlpm.total_m2)),"")</f>
        <v>1487.33</v>
      </c>
      <c r="J60" s="74">
        <f>IFERROR(IF(B60="","",INDEX(MANO_DE_OBRA!$P$10:$P$72,MATCH(B60&amp;"|"&amp;IF(H60&lt;=0.5,"CHICO",IF(H60&lt;=1,"MEDIANO","GRANDE")),MANO_DE_OBRA!$Q$10:$Q$72,0))),"")</f>
        <v>614.34549000000015</v>
      </c>
      <c r="K60" s="342">
        <f>IFERROR(IF(B60="","",_xlfn.LET(_xlpm.clave_prof,B60&amp;"|"&amp;E60,_xlpm.clave_todas,B60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60" s="75">
        <f>IFERROR(IF(B60="","",IF(I60="",0,I60)+IF(J60="",0,J60)+IF(K60="",0,K60)),"")</f>
        <v>2101.6754900000001</v>
      </c>
      <c r="M60" s="75">
        <f>IFERROR(IF(L60="","",L60*$D$8),"")</f>
        <v>2627.0943625</v>
      </c>
      <c r="N60" s="76">
        <f>IFERROR(IF(M60="","",CEILING(M60,50)),"")</f>
        <v>2650</v>
      </c>
      <c r="O60" s="77">
        <v>0</v>
      </c>
      <c r="P60" s="78">
        <f>IFERROR(IF(G60="","",G60*N60*(1-O60)),"")</f>
        <v>2650</v>
      </c>
      <c r="Q60" s="79"/>
    </row>
    <row r="61" spans="1:17" ht="19.5" customHeight="1" x14ac:dyDescent="0.2">
      <c r="A61" s="72"/>
      <c r="B61" s="69" t="s">
        <v>196</v>
      </c>
      <c r="C61" s="69">
        <v>85</v>
      </c>
      <c r="D61" s="69">
        <v>200</v>
      </c>
      <c r="E61" s="69" t="s">
        <v>97</v>
      </c>
      <c r="F61" s="69" t="s">
        <v>178</v>
      </c>
      <c r="G61" s="69">
        <v>1</v>
      </c>
      <c r="H61" s="73">
        <f>IFERROR(IF(B61="","",(C61/100)*(D61/100)),"")</f>
        <v>1.7</v>
      </c>
      <c r="I61" s="74">
        <f>IFERROR(IF(B61="","",_xlfn.LET(_xlpm.tamano,IF(H61&lt;=0.5,"CHICO",IF(H61&lt;=1,"MEDIANO","GRANDE")),_xlpm.clave,B61&amp;"|"&amp;_xlpm.tamano,_xlpm.fila,MATCH(_xlpm.clave,COSTOS_M2!$H$5:$H$67,0),_xlpm.mat_m2,INDEX(IF(F61="HUANACAXTLE",COSTOS_M2!$D$5:$D$67,IF(F61="ENCINO",COSTOS_M2!$E$5:$E$67,COSTOS_M2!$F$5:$F$67)),_xlpm.fila),_xlpm.cons_m2,INDEX(COSTOS_M2!$G$5:$G$67,_xlpm.fila),_xlpm.prof_factor,IF(AND(E61&lt;&gt;"—",E61&lt;&gt;"",ISNUMBER(E61)),POWER(E61/40,1.8),1),_xlpm.total_m2,(_xlpm.mat_m2+_xlpm.cons_m2)*H61*_xlpm.prof_factor*IF(C61&gt;70,COSTOS_M2!$B$70,1)*IF(D61&gt;244,COSTOS_M2!$B$71,1),_xlpm.total_m2)),"")</f>
        <v>1785.6799999999998</v>
      </c>
      <c r="J61" s="74">
        <f>IFERROR(IF(B61="","",INDEX(MANO_DE_OBRA!$P$10:$P$72,MATCH(B61&amp;"|"&amp;IF(H61&lt;=0.5,"CHICO",IF(H61&lt;=1,"MEDIANO","GRANDE")),MANO_DE_OBRA!$Q$10:$Q$72,0))),"")</f>
        <v>762.95904000000007</v>
      </c>
      <c r="K61" s="342">
        <f>IFERROR(IF(B61="","",_xlfn.LET(_xlpm.clave_prof,B61&amp;"|"&amp;E61,_xlpm.clave_todas,B61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61" s="75">
        <f>IFERROR(IF(B61="","",IF(I61="",0,I61)+IF(J61="",0,J61)+IF(K61="",0,K61)),"")</f>
        <v>2548.63904</v>
      </c>
      <c r="M61" s="75">
        <f>IFERROR(IF(L61="","",L61*$D$8),"")</f>
        <v>3185.7988</v>
      </c>
      <c r="N61" s="76">
        <f>IFERROR(IF(M61="","",CEILING(M61,50)),"")</f>
        <v>3200</v>
      </c>
      <c r="O61" s="77">
        <v>0</v>
      </c>
      <c r="P61" s="78">
        <f>IFERROR(IF(G61="","",G61*N61*(1-O61)),"")</f>
        <v>3200</v>
      </c>
      <c r="Q61" s="79"/>
    </row>
    <row r="62" spans="1:17" ht="19.5" customHeight="1" x14ac:dyDescent="0.2">
      <c r="A62" s="72"/>
      <c r="B62" s="69" t="s">
        <v>192</v>
      </c>
      <c r="C62" s="69">
        <v>85</v>
      </c>
      <c r="D62" s="69">
        <v>295</v>
      </c>
      <c r="E62" s="69" t="s">
        <v>97</v>
      </c>
      <c r="F62" s="69" t="s">
        <v>178</v>
      </c>
      <c r="G62" s="69">
        <v>2</v>
      </c>
      <c r="H62" s="73">
        <f>IFERROR(IF(B62="","",(C62/100)*(D62/100)),"")</f>
        <v>2.5075000000000003</v>
      </c>
      <c r="I62" s="74">
        <f>IFERROR(IF(B62="","",_xlfn.LET(_xlpm.tamano,IF(H62&lt;=0.5,"CHICO",IF(H62&lt;=1,"MEDIANO","GRANDE")),_xlpm.clave,B62&amp;"|"&amp;_xlpm.tamano,_xlpm.fila,MATCH(_xlpm.clave,COSTOS_M2!$H$5:$H$67,0),_xlpm.mat_m2,INDEX(IF(F62="HUANACAXTLE",COSTOS_M2!$D$5:$D$67,IF(F62="ENCINO",COSTOS_M2!$E$5:$E$67,COSTOS_M2!$F$5:$F$67)),_xlpm.fila),_xlpm.cons_m2,INDEX(COSTOS_M2!$G$5:$G$67,_xlpm.fila),_xlpm.prof_factor,IF(AND(E62&lt;&gt;"—",E62&lt;&gt;"",ISNUMBER(E62)),POWER(E62/40,1.8),1),_xlpm.total_m2,(_xlpm.mat_m2+_xlpm.cons_m2)*H62*_xlpm.prof_factor*IF(C62&gt;70,COSTOS_M2!$B$70,1)*IF(D62&gt;244,COSTOS_M2!$B$71,1),_xlpm.total_m2)),"")</f>
        <v>2919.7580750000006</v>
      </c>
      <c r="J62" s="74">
        <f>IFERROR(IF(B62="","",INDEX(MANO_DE_OBRA!$P$10:$P$72,MATCH(B62&amp;"|"&amp;IF(H62&lt;=0.5,"CHICO",IF(H62&lt;=1,"MEDIANO","GRANDE")),MANO_DE_OBRA!$Q$10:$Q$72,0))),"")</f>
        <v>587.22913499999993</v>
      </c>
      <c r="K62" s="342">
        <f>IFERROR(IF(B62="","",_xlfn.LET(_xlpm.clave_prof,B62&amp;"|"&amp;E62,_xlpm.clave_todas,B62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62" s="75">
        <f>IFERROR(IF(B62="","",IF(I62="",0,I62)+IF(J62="",0,J62)+IF(K62="",0,K62)),"")</f>
        <v>3506.9872100000007</v>
      </c>
      <c r="M62" s="75">
        <f>IFERROR(IF(L62="","",L62*$D$8),"")</f>
        <v>4383.734012500001</v>
      </c>
      <c r="N62" s="76">
        <f>IFERROR(IF(M62="","",CEILING(M62,50)),"")</f>
        <v>4400</v>
      </c>
      <c r="O62" s="77">
        <v>0</v>
      </c>
      <c r="P62" s="78">
        <f>IFERROR(IF(G62="","",G62*N62*(1-O62)),"")</f>
        <v>8800</v>
      </c>
      <c r="Q62" s="79"/>
    </row>
    <row r="63" spans="1:17" ht="19.5" customHeight="1" x14ac:dyDescent="0.2">
      <c r="A63" s="72"/>
      <c r="B63" s="69" t="s">
        <v>1622</v>
      </c>
      <c r="C63" s="69">
        <v>85</v>
      </c>
      <c r="D63" s="69">
        <v>295</v>
      </c>
      <c r="E63" s="69" t="s">
        <v>97</v>
      </c>
      <c r="F63" s="69" t="s">
        <v>178</v>
      </c>
      <c r="G63" s="69">
        <v>1</v>
      </c>
      <c r="H63" s="73">
        <f>IFERROR(IF(B63="","",(C63/100)*(D63/100)),"")</f>
        <v>2.5075000000000003</v>
      </c>
      <c r="I63" s="74">
        <f>IFERROR(IF(B63="","",_xlfn.LET(_xlpm.tamano,IF(H63&lt;=0.5,"CHICO",IF(H63&lt;=1,"MEDIANO","GRANDE")),_xlpm.clave,B63&amp;"|"&amp;_xlpm.tamano,_xlpm.fila,MATCH(_xlpm.clave,COSTOS_M2!$H$5:$H$67,0),_xlpm.mat_m2,INDEX(IF(F63="HUANACAXTLE",COSTOS_M2!$D$5:$D$67,IF(F63="ENCINO",COSTOS_M2!$E$5:$E$67,COSTOS_M2!$F$5:$F$67)),_xlpm.fila),_xlpm.cons_m2,INDEX(COSTOS_M2!$G$5:$G$67,_xlpm.fila),_xlpm.prof_factor,IF(AND(E63&lt;&gt;"—",E63&lt;&gt;"",ISNUMBER(E63)),POWER(E63/40,1.8),1),_xlpm.total_m2,(_xlpm.mat_m2+_xlpm.cons_m2)*H63*_xlpm.prof_factor*IF(C63&gt;70,COSTOS_M2!$B$70,1)*IF(D63&gt;244,COSTOS_M2!$B$71,1),_xlpm.total_m2)),"")</f>
        <v>3157.0678750000006</v>
      </c>
      <c r="J63" s="74">
        <f>IFERROR(IF(B63="","",INDEX(MANO_DE_OBRA!$P$10:$P$72,MATCH(B63&amp;"|"&amp;IF(H63&lt;=0.5,"CHICO",IF(H63&lt;=1,"MEDIANO","GRANDE")),MANO_DE_OBRA!$Q$10:$Q$72,0))),"")</f>
        <v>725.19600000000003</v>
      </c>
      <c r="K63" s="342">
        <f>IFERROR(IF(B63="","",_xlfn.LET(_xlpm.clave_prof,B63&amp;"|"&amp;E63,_xlpm.clave_todas,B63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63" s="75">
        <f>IFERROR(IF(B63="","",IF(I63="",0,I63)+IF(J63="",0,J63)+IF(K63="",0,K63)),"")</f>
        <v>3882.2638750000006</v>
      </c>
      <c r="M63" s="75">
        <f>IFERROR(IF(L63="","",L63*$D$8),"")</f>
        <v>4852.8298437500007</v>
      </c>
      <c r="N63" s="76">
        <f>IFERROR(IF(M63="","",CEILING(M63,50)),"")</f>
        <v>4900</v>
      </c>
      <c r="O63" s="77">
        <v>0</v>
      </c>
      <c r="P63" s="78">
        <f>IFERROR(IF(G63="","",G63*N63*(1-O63)),"")</f>
        <v>4900</v>
      </c>
      <c r="Q63" s="79"/>
    </row>
    <row r="64" spans="1:17" ht="19.5" customHeight="1" x14ac:dyDescent="0.2">
      <c r="A64" s="72"/>
      <c r="B64" s="69" t="s">
        <v>1622</v>
      </c>
      <c r="C64" s="69">
        <v>85</v>
      </c>
      <c r="D64" s="69">
        <v>157</v>
      </c>
      <c r="E64" s="69" t="s">
        <v>97</v>
      </c>
      <c r="F64" s="69" t="s">
        <v>178</v>
      </c>
      <c r="G64" s="69">
        <v>1</v>
      </c>
      <c r="H64" s="73">
        <f>IFERROR(IF(B64="","",(C64/100)*(D64/100)),"")</f>
        <v>1.3345</v>
      </c>
      <c r="I64" s="74">
        <f>IFERROR(IF(B64="","",_xlfn.LET(_xlpm.tamano,IF(H64&lt;=0.5,"CHICO",IF(H64&lt;=1,"MEDIANO","GRANDE")),_xlpm.clave,B64&amp;"|"&amp;_xlpm.tamano,_xlpm.fila,MATCH(_xlpm.clave,COSTOS_M2!$H$5:$H$67,0),_xlpm.mat_m2,INDEX(IF(F64="HUANACAXTLE",COSTOS_M2!$D$5:$D$67,IF(F64="ENCINO",COSTOS_M2!$E$5:$E$67,COSTOS_M2!$F$5:$F$67)),_xlpm.fila),_xlpm.cons_m2,INDEX(COSTOS_M2!$G$5:$G$67,_xlpm.fila),_xlpm.prof_factor,IF(AND(E64&lt;&gt;"—",E64&lt;&gt;"",ISNUMBER(E64)),POWER(E64/40,1.8),1),_xlpm.total_m2,(_xlpm.mat_m2+_xlpm.cons_m2)*H64*_xlpm.prof_factor*IF(C64&gt;70,COSTOS_M2!$B$70,1)*IF(D64&gt;244,COSTOS_M2!$B$71,1),_xlpm.total_m2)),"")</f>
        <v>1292.46325</v>
      </c>
      <c r="J64" s="74">
        <f>IFERROR(IF(B64="","",INDEX(MANO_DE_OBRA!$P$10:$P$72,MATCH(B64&amp;"|"&amp;IF(H64&lt;=0.5,"CHICO",IF(H64&lt;=1,"MEDIANO","GRANDE")),MANO_DE_OBRA!$Q$10:$Q$72,0))),"")</f>
        <v>725.19600000000003</v>
      </c>
      <c r="K64" s="342">
        <f>IFERROR(IF(B64="","",_xlfn.LET(_xlpm.clave_prof,B64&amp;"|"&amp;E64,_xlpm.clave_todas,B64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64" s="75">
        <f>IFERROR(IF(B64="","",IF(I64="",0,I64)+IF(J64="",0,J64)+IF(K64="",0,K64)),"")</f>
        <v>2017.6592500000002</v>
      </c>
      <c r="M64" s="75">
        <f>IFERROR(IF(L64="","",L64*$D$8),"")</f>
        <v>2522.0740625000003</v>
      </c>
      <c r="N64" s="76">
        <f>IFERROR(IF(M64="","",CEILING(M64,50)),"")</f>
        <v>2550</v>
      </c>
      <c r="O64" s="77">
        <v>0</v>
      </c>
      <c r="P64" s="78">
        <f>IFERROR(IF(G64="","",G64*N64*(1-O64)),"")</f>
        <v>2550</v>
      </c>
      <c r="Q64" s="79"/>
    </row>
    <row r="65" spans="1:17" ht="19.5" customHeight="1" x14ac:dyDescent="0.2">
      <c r="A65" s="72"/>
      <c r="B65" s="69" t="s">
        <v>1614</v>
      </c>
      <c r="C65" s="69">
        <v>100</v>
      </c>
      <c r="D65" s="69">
        <v>85</v>
      </c>
      <c r="E65" s="69" t="s">
        <v>97</v>
      </c>
      <c r="F65" s="69" t="s">
        <v>178</v>
      </c>
      <c r="G65" s="69">
        <v>2</v>
      </c>
      <c r="H65" s="73">
        <f>IFERROR(IF(B65="","",(C65/100)*(D65/100)),"")</f>
        <v>0.85</v>
      </c>
      <c r="I65" s="74">
        <f>IFERROR(IF(B65="","",_xlfn.LET(_xlpm.tamano,IF(H65&lt;=0.5,"CHICO",IF(H65&lt;=1,"MEDIANO","GRANDE")),_xlpm.clave,B65&amp;"|"&amp;_xlpm.tamano,_xlpm.fila,MATCH(_xlpm.clave,COSTOS_M2!$H$5:$H$67,0),_xlpm.mat_m2,INDEX(IF(F65="HUANACAXTLE",COSTOS_M2!$D$5:$D$67,IF(F65="ENCINO",COSTOS_M2!$E$5:$E$67,COSTOS_M2!$F$5:$F$67)),_xlpm.fila),_xlpm.cons_m2,INDEX(COSTOS_M2!$G$5:$G$67,_xlpm.fila),_xlpm.prof_factor,IF(AND(E65&lt;&gt;"—",E65&lt;&gt;"",ISNUMBER(E65)),POWER(E65/40,1.8),1),_xlpm.total_m2,(_xlpm.mat_m2+_xlpm.cons_m2)*H65*_xlpm.prof_factor*IF(C65&gt;70,COSTOS_M2!$B$70,1)*IF(D65&gt;244,COSTOS_M2!$B$71,1),_xlpm.total_m2)),"")</f>
        <v>643.11</v>
      </c>
      <c r="J65" s="74">
        <f>IFERROR(IF(B65="","",INDEX(MANO_DE_OBRA!$P$10:$P$72,MATCH(B65&amp;"|"&amp;IF(H65&lt;=0.5,"CHICO",IF(H65&lt;=1,"MEDIANO","GRANDE")),MANO_DE_OBRA!$Q$10:$Q$72,0))),"")</f>
        <v>410.25956399999995</v>
      </c>
      <c r="K65" s="342">
        <f>IFERROR(IF(B65="","",_xlfn.LET(_xlpm.clave_prof,B65&amp;"|"&amp;E65,_xlpm.clave_todas,B65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65" s="75">
        <f>IFERROR(IF(B65="","",IF(I65="",0,I65)+IF(J65="",0,J65)+IF(K65="",0,K65)),"")</f>
        <v>1053.3695640000001</v>
      </c>
      <c r="M65" s="75">
        <f>IFERROR(IF(L65="","",L65*$D$8),"")</f>
        <v>1316.7119550000002</v>
      </c>
      <c r="N65" s="76">
        <f>IFERROR(IF(M65="","",CEILING(M65,50)),"")</f>
        <v>1350</v>
      </c>
      <c r="O65" s="77">
        <v>0</v>
      </c>
      <c r="P65" s="78">
        <f>IFERROR(IF(G65="","",G65*N65*(1-O65)),"")</f>
        <v>2700</v>
      </c>
      <c r="Q65" s="79"/>
    </row>
    <row r="66" spans="1:17" ht="19.5" customHeight="1" x14ac:dyDescent="0.2">
      <c r="A66" s="72"/>
      <c r="B66" s="69" t="s">
        <v>1623</v>
      </c>
      <c r="C66" s="69">
        <v>85</v>
      </c>
      <c r="D66" s="69">
        <v>100</v>
      </c>
      <c r="E66" s="69" t="s">
        <v>97</v>
      </c>
      <c r="F66" s="69" t="s">
        <v>178</v>
      </c>
      <c r="G66" s="69">
        <v>3</v>
      </c>
      <c r="H66" s="73">
        <f>IFERROR(IF(B66="","",(C66/100)*(D66/100)),"")</f>
        <v>0.85</v>
      </c>
      <c r="I66" s="74">
        <f>IFERROR(IF(B66="","",_xlfn.LET(_xlpm.tamano,IF(H66&lt;=0.5,"CHICO",IF(H66&lt;=1,"MEDIANO","GRANDE")),_xlpm.clave,B66&amp;"|"&amp;_xlpm.tamano,_xlpm.fila,MATCH(_xlpm.clave,COSTOS_M2!$H$5:$H$67,0),_xlpm.mat_m2,INDEX(IF(F66="HUANACAXTLE",COSTOS_M2!$D$5:$D$67,IF(F66="ENCINO",COSTOS_M2!$E$5:$E$67,COSTOS_M2!$F$5:$F$67)),_xlpm.fila),_xlpm.cons_m2,INDEX(COSTOS_M2!$G$5:$G$67,_xlpm.fila),_xlpm.prof_factor,IF(AND(E66&lt;&gt;"—",E66&lt;&gt;"",ISNUMBER(E66)),POWER(E66/40,1.8),1),_xlpm.total_m2,(_xlpm.mat_m2+_xlpm.cons_m2)*H66*_xlpm.prof_factor*IF(C66&gt;70,COSTOS_M2!$B$70,1)*IF(D66&gt;244,COSTOS_M2!$B$71,1),_xlpm.total_m2)),"")</f>
        <v>867.42500000000007</v>
      </c>
      <c r="J66" s="74">
        <f>IFERROR(IF(B66="","",INDEX(MANO_DE_OBRA!$P$10:$P$72,MATCH(B66&amp;"|"&amp;IF(H66&lt;=0.5,"CHICO",IF(H66&lt;=1,"MEDIANO","GRANDE")),MANO_DE_OBRA!$Q$10:$Q$72,0))),"")</f>
        <v>400.55880000000002</v>
      </c>
      <c r="K66" s="342">
        <f>IFERROR(IF(B66="","",_xlfn.LET(_xlpm.clave_prof,B66&amp;"|"&amp;E66,_xlpm.clave_todas,B66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66" s="75">
        <f>IFERROR(IF(B66="","",IF(I66="",0,I66)+IF(J66="",0,J66)+IF(K66="",0,K66)),"")</f>
        <v>1267.9838</v>
      </c>
      <c r="M66" s="75">
        <f>IFERROR(IF(L66="","",L66*$D$8),"")</f>
        <v>1584.97975</v>
      </c>
      <c r="N66" s="76">
        <f>IFERROR(IF(M66="","",CEILING(M66,50)),"")</f>
        <v>1600</v>
      </c>
      <c r="O66" s="77">
        <v>0</v>
      </c>
      <c r="P66" s="78">
        <f>IFERROR(IF(G66="","",G66*N66*(1-O66)),"")</f>
        <v>4800</v>
      </c>
      <c r="Q66" s="79"/>
    </row>
    <row r="67" spans="1:17" ht="19.5" customHeight="1" x14ac:dyDescent="0.2">
      <c r="A67" s="72"/>
      <c r="B67" s="69" t="s">
        <v>1623</v>
      </c>
      <c r="C67" s="69">
        <v>85</v>
      </c>
      <c r="D67" s="69">
        <v>50</v>
      </c>
      <c r="E67" s="69" t="s">
        <v>97</v>
      </c>
      <c r="F67" s="69" t="s">
        <v>178</v>
      </c>
      <c r="G67" s="69">
        <v>6</v>
      </c>
      <c r="H67" s="73">
        <f>IFERROR(IF(B67="","",(C67/100)*(D67/100)),"")</f>
        <v>0.42499999999999999</v>
      </c>
      <c r="I67" s="74">
        <f>IFERROR(IF(B67="","",_xlfn.LET(_xlpm.tamano,IF(H67&lt;=0.5,"CHICO",IF(H67&lt;=1,"MEDIANO","GRANDE")),_xlpm.clave,B67&amp;"|"&amp;_xlpm.tamano,_xlpm.fila,MATCH(_xlpm.clave,COSTOS_M2!$H$5:$H$67,0),_xlpm.mat_m2,INDEX(IF(F67="HUANACAXTLE",COSTOS_M2!$D$5:$D$67,IF(F67="ENCINO",COSTOS_M2!$E$5:$E$67,COSTOS_M2!$F$5:$F$67)),_xlpm.fila),_xlpm.cons_m2,INDEX(COSTOS_M2!$G$5:$G$67,_xlpm.fila),_xlpm.prof_factor,IF(AND(E67&lt;&gt;"—",E67&lt;&gt;"",ISNUMBER(E67)),POWER(E67/40,1.8),1),_xlpm.total_m2,(_xlpm.mat_m2+_xlpm.cons_m2)*H67*_xlpm.prof_factor*IF(C67&gt;70,COSTOS_M2!$B$70,1)*IF(D67&gt;244,COSTOS_M2!$B$71,1),_xlpm.total_m2)),"")</f>
        <v>461.33750000000003</v>
      </c>
      <c r="J67" s="74">
        <f>IFERROR(IF(B67="","",INDEX(MANO_DE_OBRA!$P$10:$P$72,MATCH(B67&amp;"|"&amp;IF(H67&lt;=0.5,"CHICO",IF(H67&lt;=1,"MEDIANO","GRANDE")),MANO_DE_OBRA!$Q$10:$Q$72,0))),"")</f>
        <v>265.80149999999998</v>
      </c>
      <c r="K67" s="342">
        <f>IFERROR(IF(B67="","",_xlfn.LET(_xlpm.clave_prof,B67&amp;"|"&amp;E67,_xlpm.clave_todas,B67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67" s="75">
        <f>IFERROR(IF(B67="","",IF(I67="",0,I67)+IF(J67="",0,J67)+IF(K67="",0,K67)),"")</f>
        <v>727.13900000000001</v>
      </c>
      <c r="M67" s="75">
        <f>IFERROR(IF(L67="","",L67*$D$8),"")</f>
        <v>908.92375000000004</v>
      </c>
      <c r="N67" s="76">
        <f>IFERROR(IF(M67="","",CEILING(M67,50)),"")</f>
        <v>950</v>
      </c>
      <c r="O67" s="77">
        <v>0</v>
      </c>
      <c r="P67" s="78">
        <f>IFERROR(IF(G67="","",G67*N67*(1-O67)),"")</f>
        <v>5700</v>
      </c>
      <c r="Q67" s="79"/>
    </row>
    <row r="68" spans="1:17" ht="19.5" customHeight="1" x14ac:dyDescent="0.2">
      <c r="A68" s="72"/>
      <c r="B68" s="69" t="s">
        <v>203</v>
      </c>
      <c r="C68" s="69" t="s">
        <v>205</v>
      </c>
      <c r="D68" s="69">
        <v>100</v>
      </c>
      <c r="E68" s="69" t="s">
        <v>97</v>
      </c>
      <c r="F68" s="69" t="s">
        <v>178</v>
      </c>
      <c r="G68" s="69">
        <v>2</v>
      </c>
      <c r="H68" s="73" t="str">
        <f>IFERROR(IF(B68="","",(C68/100)*(D68/100)),"")</f>
        <v/>
      </c>
      <c r="I68" s="74" t="str">
        <f>IFERROR(IF(B68="","",_xlfn.LET(_xlpm.tamano,IF(H68&lt;=0.5,"CHICO",IF(H68&lt;=1,"MEDIANO","GRANDE")),_xlpm.clave,B68&amp;"|"&amp;_xlpm.tamano,_xlpm.fila,MATCH(_xlpm.clave,COSTOS_M2!$H$5:$H$67,0),_xlpm.mat_m2,INDEX(IF(F68="HUANACAXTLE",COSTOS_M2!$D$5:$D$67,IF(F68="ENCINO",COSTOS_M2!$E$5:$E$67,COSTOS_M2!$F$5:$F$67)),_xlpm.fila),_xlpm.cons_m2,INDEX(COSTOS_M2!$G$5:$G$67,_xlpm.fila),_xlpm.prof_factor,IF(AND(E68&lt;&gt;"—",E68&lt;&gt;"",ISNUMBER(E68)),POWER(E68/40,1.8),1),_xlpm.total_m2,(_xlpm.mat_m2+_xlpm.cons_m2)*H68*_xlpm.prof_factor*IF(C68&gt;70,COSTOS_M2!$B$70,1)*IF(D68&gt;244,COSTOS_M2!$B$71,1),_xlpm.total_m2)),"")</f>
        <v/>
      </c>
      <c r="J68" s="74">
        <f>IFERROR(IF(B68="","",INDEX(MANO_DE_OBRA!$P$10:$P$72,MATCH(B68&amp;"|"&amp;IF(H68&lt;=0.5,"CHICO",IF(H68&lt;=1,"MEDIANO","GRANDE")),MANO_DE_OBRA!$Q$10:$Q$72,0))),"")</f>
        <v>25.592999999999996</v>
      </c>
      <c r="K68" s="342">
        <f>IFERROR(IF(B68="","",_xlfn.LET(_xlpm.clave_prof,B68&amp;"|"&amp;E68,_xlpm.clave_todas,B68&amp;"|TODAS",_xlpm.herr_prof,SUMIFS(HERRAJES!$H$5:$H$36,HERRAJES!$J$5:$J$36,_xlpm.clave_prof),_xlpm.herr_todas,SUMIFS(HERRAJES!$H$5:$H$36,HERRAJES!$J$5:$J$36,_xlpm.clave_todas),IF(_xlpm.herr_prof&gt;0,_xlpm.herr_prof,_xlpm.herr_todas))),"")</f>
        <v>2.74</v>
      </c>
      <c r="L68" s="75">
        <f>IFERROR(IF(B68="","",IF(I68="",0,I68)+IF(J68="",0,J68)+IF(K68="",0,K68)),"")</f>
        <v>28.332999999999998</v>
      </c>
      <c r="M68" s="75">
        <f>IFERROR(IF(L68="","",L68*$D$8),"")</f>
        <v>35.416249999999998</v>
      </c>
      <c r="N68" s="76">
        <f>IFERROR(IF(M68="","",CEILING(M68,50)),"")</f>
        <v>50</v>
      </c>
      <c r="O68" s="77">
        <v>0</v>
      </c>
      <c r="P68" s="78">
        <f>IFERROR(IF(G68="","",G68*N68*(1-O68)),"")</f>
        <v>100</v>
      </c>
      <c r="Q68" s="79"/>
    </row>
    <row r="69" spans="1:17" ht="19.5" customHeight="1" x14ac:dyDescent="0.2">
      <c r="A69" s="72"/>
      <c r="B69" s="69" t="s">
        <v>199</v>
      </c>
      <c r="C69" s="69">
        <v>100</v>
      </c>
      <c r="D69" s="69">
        <v>22</v>
      </c>
      <c r="E69" s="69">
        <v>85</v>
      </c>
      <c r="F69" s="69" t="s">
        <v>178</v>
      </c>
      <c r="G69" s="69">
        <v>4</v>
      </c>
      <c r="H69" s="73">
        <f>IFERROR(IF(B69="","",(C69/100)*(D69/100)),"")</f>
        <v>0.22</v>
      </c>
      <c r="I69" s="74">
        <f>IFERROR(IF(B69="","",_xlfn.LET(_xlpm.tamano,IF(H69&lt;=0.5,"CHICO",IF(H69&lt;=1,"MEDIANO","GRANDE")),_xlpm.clave,B69&amp;"|"&amp;_xlpm.tamano,_xlpm.fila,MATCH(_xlpm.clave,COSTOS_M2!$H$5:$H$67,0),_xlpm.mat_m2,INDEX(IF(F69="HUANACAXTLE",COSTOS_M2!$D$5:$D$67,IF(F69="ENCINO",COSTOS_M2!$E$5:$E$67,COSTOS_M2!$F$5:$F$67)),_xlpm.fila),_xlpm.cons_m2,INDEX(COSTOS_M2!$G$5:$G$67,_xlpm.fila),_xlpm.prof_factor,IF(AND(E69&lt;&gt;"—",E69&lt;&gt;"",ISNUMBER(E69)),POWER(E69/40,1.8),1),_xlpm.total_m2,(_xlpm.mat_m2+_xlpm.cons_m2)*H69*_xlpm.prof_factor*IF(C69&gt;70,COSTOS_M2!$B$70,1)*IF(D69&gt;244,COSTOS_M2!$B$71,1),_xlpm.total_m2)),"")</f>
        <v>1477.2831899040189</v>
      </c>
      <c r="J69" s="74">
        <f>IFERROR(IF(B69="","",INDEX(MANO_DE_OBRA!$P$10:$P$72,MATCH(B69&amp;"|"&amp;IF(H69&lt;=0.5,"CHICO",IF(H69&lt;=1,"MEDIANO","GRANDE")),MANO_DE_OBRA!$Q$10:$Q$72,0))),"")</f>
        <v>434.36213400000003</v>
      </c>
      <c r="K69" s="342">
        <f>IFERROR(IF(B69="","",_xlfn.LET(_xlpm.clave_prof,B69&amp;"|"&amp;E69,_xlpm.clave_todas,B69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69" s="75">
        <f>IFERROR(IF(B69="","",IF(I69="",0,I69)+IF(J69="",0,J69)+IF(K69="",0,K69)),"")</f>
        <v>1911.6453239040188</v>
      </c>
      <c r="M69" s="75">
        <f>IFERROR(IF(L69="","",L69*$D$8),"")</f>
        <v>2389.5566548800234</v>
      </c>
      <c r="N69" s="76">
        <f>IFERROR(IF(M69="","",CEILING(M69,50)),"")</f>
        <v>2400</v>
      </c>
      <c r="O69" s="77">
        <v>0</v>
      </c>
      <c r="P69" s="78">
        <f>IFERROR(IF(G69="","",G69*N69*(1-O69)),"")</f>
        <v>9600</v>
      </c>
      <c r="Q69" s="79"/>
    </row>
    <row r="70" spans="1:17" ht="19.5" customHeight="1" x14ac:dyDescent="0.2">
      <c r="A70" s="72"/>
      <c r="B70" s="432" t="s">
        <v>1634</v>
      </c>
      <c r="C70" s="69"/>
      <c r="D70" s="69"/>
      <c r="E70" s="69" t="s">
        <v>97</v>
      </c>
      <c r="F70" s="69"/>
      <c r="G70" s="69"/>
      <c r="H70" s="73">
        <f>IFERROR(IF(B70="","",(C70/100)*(D70/100)),"")</f>
        <v>0</v>
      </c>
      <c r="I70" s="74" t="str">
        <f>IFERROR(IF(B70="","",_xlfn.LET(_xlpm.tamano,IF(H70&lt;=0.5,"CHICO",IF(H70&lt;=1,"MEDIANO","GRANDE")),_xlpm.clave,B70&amp;"|"&amp;_xlpm.tamano,_xlpm.fila,MATCH(_xlpm.clave,COSTOS_M2!$H$5:$H$67,0),_xlpm.mat_m2,INDEX(IF(F70="HUANACAXTLE",COSTOS_M2!$D$5:$D$67,IF(F70="ENCINO",COSTOS_M2!$E$5:$E$67,COSTOS_M2!$F$5:$F$67)),_xlpm.fila),_xlpm.cons_m2,INDEX(COSTOS_M2!$G$5:$G$67,_xlpm.fila),_xlpm.prof_factor,IF(AND(E70&lt;&gt;"—",E70&lt;&gt;"",ISNUMBER(E70)),POWER(E70/40,1.8),1),_xlpm.total_m2,(_xlpm.mat_m2+_xlpm.cons_m2)*H70*_xlpm.prof_factor*IF(C70&gt;70,COSTOS_M2!$B$70,1)*IF(D70&gt;244,COSTOS_M2!$B$71,1),_xlpm.total_m2)),"")</f>
        <v/>
      </c>
      <c r="J70" s="74" t="str">
        <f>IFERROR(IF(B70="","",INDEX(MANO_DE_OBRA!$P$10:$P$72,MATCH(B70&amp;"|"&amp;IF(H70&lt;=0.5,"CHICO",IF(H70&lt;=1,"MEDIANO","GRANDE")),MANO_DE_OBRA!$Q$10:$Q$72,0))),"")</f>
        <v/>
      </c>
      <c r="K70" s="342">
        <f>IFERROR(IF(B70="","",_xlfn.LET(_xlpm.clave_prof,B70&amp;"|"&amp;E70,_xlpm.clave_todas,B70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70" s="75">
        <f>IFERROR(IF(B70="","",IF(I70="",0,I70)+IF(J70="",0,J70)+IF(K70="",0,K70)),"")</f>
        <v>0</v>
      </c>
      <c r="M70" s="75">
        <f>IFERROR(IF(L70="","",L70*$D$8),"")</f>
        <v>0</v>
      </c>
      <c r="N70" s="76">
        <f>IFERROR(IF(M70="","",CEILING(M70,50)),"")</f>
        <v>0</v>
      </c>
      <c r="O70" s="77">
        <v>0</v>
      </c>
      <c r="P70" s="78" t="str">
        <f>IFERROR(IF(G70="","",G70*N70*(1-O70)),"")</f>
        <v/>
      </c>
      <c r="Q70" s="79"/>
    </row>
    <row r="71" spans="1:17" ht="19.5" customHeight="1" x14ac:dyDescent="0.2">
      <c r="A71" s="72"/>
      <c r="B71" s="69" t="s">
        <v>1628</v>
      </c>
      <c r="C71" s="69">
        <v>202</v>
      </c>
      <c r="D71" s="69">
        <v>305</v>
      </c>
      <c r="E71" s="69" t="s">
        <v>97</v>
      </c>
      <c r="F71" s="69" t="s">
        <v>178</v>
      </c>
      <c r="G71" s="69">
        <v>1</v>
      </c>
      <c r="H71" s="73">
        <f>IFERROR(IF(B71="","",(C71/100)*(D71/100)),"")</f>
        <v>6.1609999999999996</v>
      </c>
      <c r="I71" s="74">
        <f>IFERROR(IF(B71="","",_xlfn.LET(_xlpm.tamano,IF(H71&lt;=0.5,"CHICO",IF(H71&lt;=1,"MEDIANO","GRANDE")),_xlpm.clave,B71&amp;"|"&amp;_xlpm.tamano,_xlpm.fila,MATCH(_xlpm.clave,COSTOS_M2!$H$5:$H$67,0),_xlpm.mat_m2,INDEX(IF(F71="HUANACAXTLE",COSTOS_M2!$D$5:$D$67,IF(F71="ENCINO",COSTOS_M2!$E$5:$E$67,COSTOS_M2!$F$5:$F$67)),_xlpm.fila),_xlpm.cons_m2,INDEX(COSTOS_M2!$G$5:$G$67,_xlpm.fila),_xlpm.prof_factor,IF(AND(E71&lt;&gt;"—",E71&lt;&gt;"",ISNUMBER(E71)),POWER(E71/40,1.8),1),_xlpm.total_m2,(_xlpm.mat_m2+_xlpm.cons_m2)*H71*_xlpm.prof_factor*IF(C71&gt;70,COSTOS_M2!$B$70,1)*IF(D71&gt;244,COSTOS_M2!$B$71,1),_xlpm.total_m2)),"")</f>
        <v>2446.8411499999997</v>
      </c>
      <c r="J71" s="74">
        <f>IFERROR(IF(B71="","",INDEX(MANO_DE_OBRA!$P$10:$P$72,MATCH(B71&amp;"|"&amp;IF(H71&lt;=0.5,"CHICO",IF(H71&lt;=1,"MEDIANO","GRANDE")),MANO_DE_OBRA!$Q$10:$Q$72,0))),"")</f>
        <v>295.7955</v>
      </c>
      <c r="K71" s="342">
        <f>IFERROR(IF(B71="","",_xlfn.LET(_xlpm.clave_prof,B71&amp;"|"&amp;E71,_xlpm.clave_todas,B71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71" s="75">
        <f>IFERROR(IF(B71="","",IF(I71="",0,I71)+IF(J71="",0,J71)+IF(K71="",0,K71)),"")</f>
        <v>2742.6366499999999</v>
      </c>
      <c r="M71" s="75">
        <f>IFERROR(IF(L71="","",L71*$D$8),"")</f>
        <v>3428.2958125</v>
      </c>
      <c r="N71" s="76">
        <f>IFERROR(IF(M71="","",CEILING(M71,50)),"")</f>
        <v>3450</v>
      </c>
      <c r="O71" s="77">
        <v>0</v>
      </c>
      <c r="P71" s="78">
        <f>IFERROR(IF(G71="","",G71*N71*(1-O71)),"")</f>
        <v>3450</v>
      </c>
      <c r="Q71" s="79"/>
    </row>
    <row r="72" spans="1:17" ht="19.5" customHeight="1" x14ac:dyDescent="0.2">
      <c r="A72" s="72"/>
      <c r="B72" s="69" t="s">
        <v>200</v>
      </c>
      <c r="C72" s="69">
        <v>50</v>
      </c>
      <c r="D72" s="69">
        <v>305</v>
      </c>
      <c r="E72" s="69" t="s">
        <v>97</v>
      </c>
      <c r="F72" s="69" t="s">
        <v>178</v>
      </c>
      <c r="G72" s="69">
        <v>4</v>
      </c>
      <c r="H72" s="73">
        <f>IFERROR(IF(B72="","",(C72/100)*(D72/100)),"")</f>
        <v>1.5249999999999999</v>
      </c>
      <c r="I72" s="74">
        <f>IFERROR(IF(B72="","",_xlfn.LET(_xlpm.tamano,IF(H72&lt;=0.5,"CHICO",IF(H72&lt;=1,"MEDIANO","GRANDE")),_xlpm.clave,B72&amp;"|"&amp;_xlpm.tamano,_xlpm.fila,MATCH(_xlpm.clave,COSTOS_M2!$H$5:$H$67,0),_xlpm.mat_m2,INDEX(IF(F72="HUANACAXTLE",COSTOS_M2!$D$5:$D$67,IF(F72="ENCINO",COSTOS_M2!$E$5:$E$67,COSTOS_M2!$F$5:$F$67)),_xlpm.fila),_xlpm.cons_m2,INDEX(COSTOS_M2!$G$5:$G$67,_xlpm.fila),_xlpm.prof_factor,IF(AND(E72&lt;&gt;"—",E72&lt;&gt;"",ISNUMBER(E72)),POWER(E72/40,1.8),1),_xlpm.total_m2,(_xlpm.mat_m2+_xlpm.cons_m2)*H72*_xlpm.prof_factor*IF(C72&gt;70,COSTOS_M2!$B$70,1)*IF(D72&gt;244,COSTOS_M2!$B$71,1),_xlpm.total_m2)),"")</f>
        <v>1595.9125000000001</v>
      </c>
      <c r="J72" s="74">
        <f>IFERROR(IF(B72="","",INDEX(MANO_DE_OBRA!$P$10:$P$72,MATCH(B72&amp;"|"&amp;IF(H72&lt;=0.5,"CHICO",IF(H72&lt;=1,"MEDIANO","GRANDE")),MANO_DE_OBRA!$Q$10:$Q$72,0))),"")</f>
        <v>810.61836000000005</v>
      </c>
      <c r="K72" s="342">
        <f>IFERROR(IF(B72="","",_xlfn.LET(_xlpm.clave_prof,B72&amp;"|"&amp;E72,_xlpm.clave_todas,B72&amp;"|TODAS",_xlpm.herr_prof,SUMIFS(HERRAJES!$H$5:$H$36,HERRAJES!$J$5:$J$36,_xlpm.clave_prof),_xlpm.herr_todas,SUMIFS(HERRAJES!$H$5:$H$36,HERRAJES!$J$5:$J$36,_xlpm.clave_todas),IF(_xlpm.herr_prof&gt;0,_xlpm.herr_prof,_xlpm.herr_todas))),"")</f>
        <v>311.39999999999998</v>
      </c>
      <c r="L72" s="75">
        <f>IFERROR(IF(B72="","",IF(I72="",0,I72)+IF(J72="",0,J72)+IF(K72="",0,K72)),"")</f>
        <v>2717.9308600000004</v>
      </c>
      <c r="M72" s="75">
        <f>IFERROR(IF(L72="","",L72*$D$8),"")</f>
        <v>3397.4135750000005</v>
      </c>
      <c r="N72" s="76">
        <f>IFERROR(IF(M72="","",CEILING(M72,50)),"")</f>
        <v>3400</v>
      </c>
      <c r="O72" s="77">
        <v>0</v>
      </c>
      <c r="P72" s="78">
        <f>IFERROR(IF(G72="","",G72*N72*(1-O72)),"")</f>
        <v>13600</v>
      </c>
      <c r="Q72" s="79"/>
    </row>
    <row r="73" spans="1:17" ht="19.5" customHeight="1" x14ac:dyDescent="0.2">
      <c r="A73" s="72"/>
      <c r="B73" s="69" t="s">
        <v>1624</v>
      </c>
      <c r="C73" s="69">
        <v>5</v>
      </c>
      <c r="D73" s="69">
        <v>750</v>
      </c>
      <c r="E73" s="69" t="s">
        <v>97</v>
      </c>
      <c r="F73" s="69" t="s">
        <v>178</v>
      </c>
      <c r="G73" s="69">
        <v>1</v>
      </c>
      <c r="H73" s="73">
        <f>IFERROR(IF(B73="","",(C73/100)*(D73/100)),"")</f>
        <v>0.375</v>
      </c>
      <c r="I73" s="74">
        <f>IFERROR(IF(B73="","",_xlfn.LET(_xlpm.tamano,IF(H73&lt;=0.5,"CHICO",IF(H73&lt;=1,"MEDIANO","GRANDE")),_xlpm.clave,B73&amp;"|"&amp;_xlpm.tamano,_xlpm.fila,MATCH(_xlpm.clave,COSTOS_M2!$H$5:$H$67,0),_xlpm.mat_m2,INDEX(IF(F73="HUANACAXTLE",COSTOS_M2!$D$5:$D$67,IF(F73="ENCINO",COSTOS_M2!$E$5:$E$67,COSTOS_M2!$F$5:$F$67)),_xlpm.fila),_xlpm.cons_m2,INDEX(COSTOS_M2!$G$5:$G$67,_xlpm.fila),_xlpm.prof_factor,IF(AND(E73&lt;&gt;"—",E73&lt;&gt;"",ISNUMBER(E73)),POWER(E73/40,1.8),1),_xlpm.total_m2,(_xlpm.mat_m2+_xlpm.cons_m2)*H73*_xlpm.prof_factor*IF(C73&gt;70,COSTOS_M2!$B$70,1)*IF(D73&gt;244,COSTOS_M2!$B$71,1),_xlpm.total_m2)),"")</f>
        <v>2510.625</v>
      </c>
      <c r="J73" s="74">
        <f>IFERROR(IF(B73="","",INDEX(MANO_DE_OBRA!$P$10:$P$72,MATCH(B73&amp;"|"&amp;IF(H73&lt;=0.5,"CHICO",IF(H73&lt;=1,"MEDIANO","GRANDE")),MANO_DE_OBRA!$Q$10:$Q$72,0))),"")</f>
        <v>356.38649999999996</v>
      </c>
      <c r="K73" s="342">
        <f>IFERROR(IF(B73="","",_xlfn.LET(_xlpm.clave_prof,B73&amp;"|"&amp;E73,_xlpm.clave_todas,B73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73" s="75">
        <f>IFERROR(IF(B73="","",IF(I73="",0,I73)+IF(J73="",0,J73)+IF(K73="",0,K73)),"")</f>
        <v>2867.0115000000001</v>
      </c>
      <c r="M73" s="75">
        <f>IFERROR(IF(L73="","",L73*$D$8),"")</f>
        <v>3583.7643750000002</v>
      </c>
      <c r="N73" s="76">
        <f>IFERROR(IF(M73="","",CEILING(M73,50)),"")</f>
        <v>3600</v>
      </c>
      <c r="O73" s="77">
        <v>0</v>
      </c>
      <c r="P73" s="78">
        <f>IFERROR(IF(G73="","",G73*N73*(1-O73)),"")</f>
        <v>3600</v>
      </c>
      <c r="Q73" s="79"/>
    </row>
    <row r="74" spans="1:17" ht="19.5" customHeight="1" x14ac:dyDescent="0.2">
      <c r="A74" s="72"/>
      <c r="B74" s="69" t="s">
        <v>1626</v>
      </c>
      <c r="C74" s="69">
        <v>5</v>
      </c>
      <c r="D74" s="69">
        <v>400</v>
      </c>
      <c r="E74" s="69" t="s">
        <v>97</v>
      </c>
      <c r="F74" s="69" t="s">
        <v>178</v>
      </c>
      <c r="G74" s="69">
        <v>1</v>
      </c>
      <c r="H74" s="73">
        <f>IFERROR(IF(B74="","",(C74/100)*(D74/100)),"")</f>
        <v>0.2</v>
      </c>
      <c r="I74" s="74">
        <f>IFERROR(IF(B74="","",_xlfn.LET(_xlpm.tamano,IF(H74&lt;=0.5,"CHICO",IF(H74&lt;=1,"MEDIANO","GRANDE")),_xlpm.clave,B74&amp;"|"&amp;_xlpm.tamano,_xlpm.fila,MATCH(_xlpm.clave,COSTOS_M2!$H$5:$H$67,0),_xlpm.mat_m2,INDEX(IF(F74="HUANACAXTLE",COSTOS_M2!$D$5:$D$67,IF(F74="ENCINO",COSTOS_M2!$E$5:$E$67,COSTOS_M2!$F$5:$F$67)),_xlpm.fila),_xlpm.cons_m2,INDEX(COSTOS_M2!$G$5:$G$67,_xlpm.fila),_xlpm.prof_factor,IF(AND(E74&lt;&gt;"—",E74&lt;&gt;"",ISNUMBER(E74)),POWER(E74/40,1.8),1),_xlpm.total_m2,(_xlpm.mat_m2+_xlpm.cons_m2)*H74*_xlpm.prof_factor*IF(C74&gt;70,COSTOS_M2!$B$70,1)*IF(D74&gt;244,COSTOS_M2!$B$71,1),_xlpm.total_m2)),"")</f>
        <v>1339</v>
      </c>
      <c r="J74" s="74">
        <f>IFERROR(IF(B74="","",INDEX(MANO_DE_OBRA!$P$10:$P$72,MATCH(B74&amp;"|"&amp;IF(H74&lt;=0.5,"CHICO",IF(H74&lt;=1,"MEDIANO","GRANDE")),MANO_DE_OBRA!$Q$10:$Q$72,0))),"")</f>
        <v>477.459</v>
      </c>
      <c r="K74" s="342">
        <f>IFERROR(IF(B74="","",_xlfn.LET(_xlpm.clave_prof,B74&amp;"|"&amp;E74,_xlpm.clave_todas,B74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74" s="75">
        <f>IFERROR(IF(B74="","",IF(I74="",0,I74)+IF(J74="",0,J74)+IF(K74="",0,K74)),"")</f>
        <v>1816.4590000000001</v>
      </c>
      <c r="M74" s="75">
        <f>IFERROR(IF(L74="","",L74*$D$8),"")</f>
        <v>2270.57375</v>
      </c>
      <c r="N74" s="76">
        <f>IFERROR(IF(M74="","",CEILING(M74,50)),"")</f>
        <v>2300</v>
      </c>
      <c r="O74" s="77"/>
      <c r="P74" s="78">
        <f>IFERROR(IF(G74="","",G74*N74*(1-O74)),"")</f>
        <v>2300</v>
      </c>
      <c r="Q74" s="79"/>
    </row>
    <row r="75" spans="1:17" ht="19.5" customHeight="1" x14ac:dyDescent="0.2">
      <c r="A75" s="72"/>
      <c r="B75" s="69"/>
      <c r="C75" s="69"/>
      <c r="D75" s="69"/>
      <c r="E75" s="69"/>
      <c r="F75" s="69"/>
      <c r="G75" s="69"/>
      <c r="H75" s="73" t="str">
        <f>IFERROR(IF(B75="","",(C75/100)*(D75/100)),"")</f>
        <v/>
      </c>
      <c r="I75" s="74" t="str">
        <f>IFERROR(IF(B75="","",_xlfn.LET(_xlpm.tamano,IF(H75&lt;=0.5,"CHICO",IF(H75&lt;=1,"MEDIANO","GRANDE")),_xlpm.clave,B75&amp;"|"&amp;_xlpm.tamano,_xlpm.fila,MATCH(_xlpm.clave,COSTOS_M2!$H$5:$H$67,0),_xlpm.mat_m2,INDEX(IF(F75="HUANACAXTLE",COSTOS_M2!$D$5:$D$67,IF(F75="ENCINO",COSTOS_M2!$E$5:$E$67,COSTOS_M2!$F$5:$F$67)),_xlpm.fila),_xlpm.cons_m2,INDEX(COSTOS_M2!$G$5:$G$67,_xlpm.fila),_xlpm.prof_factor,IF(AND(E75&lt;&gt;"—",E75&lt;&gt;"",ISNUMBER(E75)),POWER(E75/40,1.8),1),_xlpm.total_m2,(_xlpm.mat_m2+_xlpm.cons_m2)*H75*_xlpm.prof_factor*IF(C75&gt;70,COSTOS_M2!$B$70,1)*IF(D75&gt;244,COSTOS_M2!$B$71,1),_xlpm.total_m2)),"")</f>
        <v/>
      </c>
      <c r="J75" s="74" t="str">
        <f>IFERROR(IF(B75="","",INDEX(MANO_DE_OBRA!$P$10:$P$72,MATCH(B75&amp;"|"&amp;IF(H75&lt;=0.5,"CHICO",IF(H75&lt;=1,"MEDIANO","GRANDE")),MANO_DE_OBRA!$Q$10:$Q$72,0))),"")</f>
        <v/>
      </c>
      <c r="K75" s="342" t="str">
        <f>IFERROR(IF(B75="","",_xlfn.LET(_xlpm.clave_prof,B75&amp;"|"&amp;E75,_xlpm.clave_todas,B75&amp;"|TODAS",_xlpm.herr_prof,SUMIFS(HERRAJES!$H$5:$H$36,HERRAJES!$J$5:$J$36,_xlpm.clave_prof),_xlpm.herr_todas,SUMIFS(HERRAJES!$H$5:$H$36,HERRAJES!$J$5:$J$36,_xlpm.clave_todas),IF(_xlpm.herr_prof&gt;0,_xlpm.herr_prof,_xlpm.herr_todas))),"")</f>
        <v/>
      </c>
      <c r="L75" s="75" t="str">
        <f>IFERROR(IF(B75="","",IF(I75="",0,I75)+IF(J75="",0,J75)+IF(K75="",0,K75)),"")</f>
        <v/>
      </c>
      <c r="M75" s="75" t="str">
        <f>IFERROR(IF(L75="","",L75*$D$8),"")</f>
        <v/>
      </c>
      <c r="N75" s="76" t="str">
        <f>IFERROR(IF(M75="","",CEILING(M75,50)),"")</f>
        <v/>
      </c>
      <c r="O75" s="77">
        <v>0</v>
      </c>
      <c r="P75" s="78" t="str">
        <f>IFERROR(IF(G75="","",G75*N75*(1-O75)),"")</f>
        <v/>
      </c>
      <c r="Q75" s="79"/>
    </row>
    <row r="76" spans="1:17" ht="19.5" customHeight="1" x14ac:dyDescent="0.2">
      <c r="A76" s="72"/>
      <c r="B76" s="83" t="s">
        <v>1635</v>
      </c>
      <c r="C76" s="424"/>
      <c r="D76" s="424"/>
      <c r="E76" s="424"/>
      <c r="F76" s="424"/>
      <c r="G76" s="424"/>
      <c r="H76" s="425"/>
      <c r="I76" s="426"/>
      <c r="J76" s="426"/>
      <c r="K76" s="427"/>
      <c r="L76" s="428"/>
      <c r="M76" s="428"/>
      <c r="N76" s="429"/>
      <c r="O76" s="430"/>
      <c r="P76" s="431"/>
      <c r="Q76" s="79"/>
    </row>
    <row r="77" spans="1:17" ht="19.5" customHeight="1" x14ac:dyDescent="0.2">
      <c r="A77" s="72" t="s">
        <v>1638</v>
      </c>
      <c r="B77" s="69" t="s">
        <v>199</v>
      </c>
      <c r="C77" s="69">
        <v>115</v>
      </c>
      <c r="D77" s="69">
        <v>20</v>
      </c>
      <c r="E77" s="69">
        <v>37</v>
      </c>
      <c r="F77" s="69" t="s">
        <v>178</v>
      </c>
      <c r="G77" s="69">
        <v>2</v>
      </c>
      <c r="H77" s="73">
        <f>IFERROR(IF(B77="","",(C77/100)*(D77/100)),"")</f>
        <v>0.22999999999999998</v>
      </c>
      <c r="I77" s="74">
        <f>IFERROR(IF(B77="","",_xlfn.LET(_xlpm.tamano,IF(H77&lt;=0.5,"CHICO",IF(H77&lt;=1,"MEDIANO","GRANDE")),_xlpm.clave,B77&amp;"|"&amp;_xlpm.tamano,_xlpm.fila,MATCH(_xlpm.clave,COSTOS_M2!$H$5:$H$67,0),_xlpm.mat_m2,INDEX(IF(F77="HUANACAXTLE",COSTOS_M2!$D$5:$D$67,IF(F77="ENCINO",COSTOS_M2!$E$5:$E$67,COSTOS_M2!$F$5:$F$67)),_xlpm.fila),_xlpm.cons_m2,INDEX(COSTOS_M2!$G$5:$G$67,_xlpm.fila),_xlpm.prof_factor,IF(AND(E77&lt;&gt;"—",E77&lt;&gt;"",ISNUMBER(E77)),POWER(E77/40,1.8),1),_xlpm.total_m2,(_xlpm.mat_m2+_xlpm.cons_m2)*H77*_xlpm.prof_factor*IF(C77&gt;70,COSTOS_M2!$B$70,1)*IF(D77&gt;244,COSTOS_M2!$B$71,1),_xlpm.total_m2)),"")</f>
        <v>345.60335373559536</v>
      </c>
      <c r="J77" s="74">
        <f>IFERROR(IF(B77="","",INDEX(MANO_DE_OBRA!$P$10:$P$72,MATCH(B77&amp;"|"&amp;IF(H77&lt;=0.5,"CHICO",IF(H77&lt;=1,"MEDIANO","GRANDE")),MANO_DE_OBRA!$Q$10:$Q$72,0))),"")</f>
        <v>434.36213400000003</v>
      </c>
      <c r="K77" s="342">
        <f>IFERROR(IF(B77="","",_xlfn.LET(_xlpm.clave_prof,B77&amp;"|"&amp;E77,_xlpm.clave_todas,B77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77" s="75">
        <f>IFERROR(IF(B77="","",IF(I77="",0,I77)+IF(J77="",0,J77)+IF(K77="",0,K77)),"")</f>
        <v>779.96548773559539</v>
      </c>
      <c r="M77" s="75">
        <f>IFERROR(IF(L77="","",L77*$D$8),"")</f>
        <v>974.95685966949418</v>
      </c>
      <c r="N77" s="76">
        <f>IFERROR(IF(M77="","",CEILING(M77,50)),"")</f>
        <v>1000</v>
      </c>
      <c r="O77" s="77">
        <v>0</v>
      </c>
      <c r="P77" s="78">
        <f>IFERROR(IF(G77="","",G77*N77*(1-O77)),"")</f>
        <v>2000</v>
      </c>
      <c r="Q77" s="79"/>
    </row>
    <row r="78" spans="1:17" ht="19.5" customHeight="1" x14ac:dyDescent="0.2">
      <c r="A78" s="72" t="s">
        <v>1638</v>
      </c>
      <c r="B78" s="69" t="s">
        <v>197</v>
      </c>
      <c r="C78" s="69">
        <v>37</v>
      </c>
      <c r="D78" s="69">
        <v>115</v>
      </c>
      <c r="E78" s="69" t="s">
        <v>97</v>
      </c>
      <c r="F78" s="69" t="s">
        <v>178</v>
      </c>
      <c r="G78" s="69">
        <v>2</v>
      </c>
      <c r="H78" s="73">
        <f>IFERROR(IF(B78="","",(C78/100)*(D78/100)),"")</f>
        <v>0.42549999999999999</v>
      </c>
      <c r="I78" s="74">
        <f>IFERROR(IF(B78="","",_xlfn.LET(_xlpm.tamano,IF(H78&lt;=0.5,"CHICO",IF(H78&lt;=1,"MEDIANO","GRANDE")),_xlpm.clave,B78&amp;"|"&amp;_xlpm.tamano,_xlpm.fila,MATCH(_xlpm.clave,COSTOS_M2!$H$5:$H$67,0),_xlpm.mat_m2,INDEX(IF(F78="HUANACAXTLE",COSTOS_M2!$D$5:$D$67,IF(F78="ENCINO",COSTOS_M2!$E$5:$E$67,COSTOS_M2!$F$5:$F$67)),_xlpm.fila),_xlpm.cons_m2,INDEX(COSTOS_M2!$G$5:$G$67,_xlpm.fila),_xlpm.prof_factor,IF(AND(E78&lt;&gt;"—",E78&lt;&gt;"",ISNUMBER(E78)),POWER(E78/40,1.8),1),_xlpm.total_m2,(_xlpm.mat_m2+_xlpm.cons_m2)*H78*_xlpm.prof_factor*IF(C78&gt;70,COSTOS_M2!$B$70,1)*IF(D78&gt;244,COSTOS_M2!$B$71,1),_xlpm.total_m2)),"")</f>
        <v>334.44299999999998</v>
      </c>
      <c r="J78" s="74">
        <f>IFERROR(IF(B78="","",INDEX(MANO_DE_OBRA!$P$10:$P$72,MATCH(B78&amp;"|"&amp;IF(H78&lt;=0.5,"CHICO",IF(H78&lt;=1,"MEDIANO","GRANDE")),MANO_DE_OBRA!$Q$10:$Q$72,0))),"")</f>
        <v>292.24064999999996</v>
      </c>
      <c r="K78" s="342">
        <f>IFERROR(IF(B78="","",_xlfn.LET(_xlpm.clave_prof,B78&amp;"|"&amp;E78,_xlpm.clave_todas,B78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78" s="75">
        <f>IFERROR(IF(B78="","",IF(I78="",0,I78)+IF(J78="",0,J78)+IF(K78="",0,K78)),"")</f>
        <v>626.68364999999994</v>
      </c>
      <c r="M78" s="75">
        <f>IFERROR(IF(L78="","",L78*$D$8),"")</f>
        <v>783.35456249999993</v>
      </c>
      <c r="N78" s="76">
        <f>IFERROR(IF(M78="","",CEILING(M78,50)),"")</f>
        <v>800</v>
      </c>
      <c r="O78" s="77">
        <v>0</v>
      </c>
      <c r="P78" s="78">
        <f>IFERROR(IF(G78="","",G78*N78*(1-O78)),"")</f>
        <v>1600</v>
      </c>
      <c r="Q78" s="79"/>
    </row>
    <row r="79" spans="1:17" ht="19.5" customHeight="1" x14ac:dyDescent="0.2">
      <c r="A79" s="72" t="s">
        <v>1639</v>
      </c>
      <c r="B79" s="69" t="s">
        <v>195</v>
      </c>
      <c r="C79" s="69">
        <v>60</v>
      </c>
      <c r="D79" s="69">
        <v>205</v>
      </c>
      <c r="E79" s="69" t="s">
        <v>97</v>
      </c>
      <c r="F79" s="69" t="s">
        <v>178</v>
      </c>
      <c r="G79" s="69">
        <v>1</v>
      </c>
      <c r="H79" s="73">
        <f>IFERROR(IF(B79="","",(C79/100)*(D79/100)),"")</f>
        <v>1.2299999999999998</v>
      </c>
      <c r="I79" s="74">
        <f>IFERROR(IF(B79="","",_xlfn.LET(_xlpm.tamano,IF(H79&lt;=0.5,"CHICO",IF(H79&lt;=1,"MEDIANO","GRANDE")),_xlpm.clave,B79&amp;"|"&amp;_xlpm.tamano,_xlpm.fila,MATCH(_xlpm.clave,COSTOS_M2!$H$5:$H$67,0),_xlpm.mat_m2,INDEX(IF(F79="HUANACAXTLE",COSTOS_M2!$D$5:$D$67,IF(F79="ENCINO",COSTOS_M2!$E$5:$E$67,COSTOS_M2!$F$5:$F$67)),_xlpm.fila),_xlpm.cons_m2,INDEX(COSTOS_M2!$G$5:$G$67,_xlpm.fila),_xlpm.prof_factor,IF(AND(E79&lt;&gt;"—",E79&lt;&gt;"",ISNUMBER(E79)),POWER(E79/40,1.8),1),_xlpm.total_m2,(_xlpm.mat_m2+_xlpm.cons_m2)*H79*_xlpm.prof_factor*IF(C79&gt;70,COSTOS_M2!$B$70,1)*IF(D79&gt;244,COSTOS_M2!$B$71,1),_xlpm.total_m2)),"")</f>
        <v>827.78999999999985</v>
      </c>
      <c r="J79" s="74">
        <f>IFERROR(IF(B79="","",INDEX(MANO_DE_OBRA!$P$10:$P$72,MATCH(B79&amp;"|"&amp;IF(H79&lt;=0.5,"CHICO",IF(H79&lt;=1,"MEDIANO","GRANDE")),MANO_DE_OBRA!$Q$10:$Q$72,0))),"")</f>
        <v>614.34549000000015</v>
      </c>
      <c r="K79" s="342">
        <f>IFERROR(IF(B79="","",_xlfn.LET(_xlpm.clave_prof,B79&amp;"|"&amp;E79,_xlpm.clave_todas,B79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79" s="75">
        <f>IFERROR(IF(B79="","",IF(I79="",0,I79)+IF(J79="",0,J79)+IF(K79="",0,K79)),"")</f>
        <v>1442.1354900000001</v>
      </c>
      <c r="M79" s="75">
        <f>IFERROR(IF(L79="","",L79*$D$8),"")</f>
        <v>1802.6693625000003</v>
      </c>
      <c r="N79" s="76">
        <f>IFERROR(IF(M79="","",CEILING(M79,50)),"")</f>
        <v>1850</v>
      </c>
      <c r="O79" s="77">
        <v>0</v>
      </c>
      <c r="P79" s="78">
        <f>IFERROR(IF(G79="","",G79*N79*(1-O79)),"")</f>
        <v>1850</v>
      </c>
      <c r="Q79" s="79"/>
    </row>
    <row r="80" spans="1:17" ht="19.5" customHeight="1" x14ac:dyDescent="0.2">
      <c r="A80" s="72" t="s">
        <v>1639</v>
      </c>
      <c r="B80" s="69" t="s">
        <v>196</v>
      </c>
      <c r="C80" s="69">
        <v>60</v>
      </c>
      <c r="D80" s="69">
        <v>205</v>
      </c>
      <c r="E80" s="69" t="s">
        <v>97</v>
      </c>
      <c r="F80" s="69" t="s">
        <v>178</v>
      </c>
      <c r="G80" s="69">
        <v>2</v>
      </c>
      <c r="H80" s="73">
        <f>IFERROR(IF(B80="","",(C80/100)*(D80/100)),"")</f>
        <v>1.2299999999999998</v>
      </c>
      <c r="I80" s="74">
        <f>IFERROR(IF(B80="","",_xlfn.LET(_xlpm.tamano,IF(H80&lt;=0.5,"CHICO",IF(H80&lt;=1,"MEDIANO","GRANDE")),_xlpm.clave,B80&amp;"|"&amp;_xlpm.tamano,_xlpm.fila,MATCH(_xlpm.clave,COSTOS_M2!$H$5:$H$67,0),_xlpm.mat_m2,INDEX(IF(F80="HUANACAXTLE",COSTOS_M2!$D$5:$D$67,IF(F80="ENCINO",COSTOS_M2!$E$5:$E$67,COSTOS_M2!$F$5:$F$67)),_xlpm.fila),_xlpm.cons_m2,INDEX(COSTOS_M2!$G$5:$G$67,_xlpm.fila),_xlpm.prof_factor,IF(AND(E80&lt;&gt;"—",E80&lt;&gt;"",ISNUMBER(E80)),POWER(E80/40,1.8),1),_xlpm.total_m2,(_xlpm.mat_m2+_xlpm.cons_m2)*H80*_xlpm.prof_factor*IF(C80&gt;70,COSTOS_M2!$B$70,1)*IF(D80&gt;244,COSTOS_M2!$B$71,1),_xlpm.total_m2)),"")</f>
        <v>993.8399999999998</v>
      </c>
      <c r="J80" s="74">
        <f>IFERROR(IF(B80="","",INDEX(MANO_DE_OBRA!$P$10:$P$72,MATCH(B80&amp;"|"&amp;IF(H80&lt;=0.5,"CHICO",IF(H80&lt;=1,"MEDIANO","GRANDE")),MANO_DE_OBRA!$Q$10:$Q$72,0))),"")</f>
        <v>762.95904000000007</v>
      </c>
      <c r="K80" s="342">
        <f>IFERROR(IF(B80="","",_xlfn.LET(_xlpm.clave_prof,B80&amp;"|"&amp;E80,_xlpm.clave_todas,B80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80" s="75">
        <f>IFERROR(IF(B80="","",IF(I80="",0,I80)+IF(J80="",0,J80)+IF(K80="",0,K80)),"")</f>
        <v>1756.7990399999999</v>
      </c>
      <c r="M80" s="75">
        <f>IFERROR(IF(L80="","",L80*$D$8),"")</f>
        <v>2195.9987999999998</v>
      </c>
      <c r="N80" s="76">
        <f>IFERROR(IF(M80="","",CEILING(M80,50)),"")</f>
        <v>2200</v>
      </c>
      <c r="O80" s="77">
        <v>0</v>
      </c>
      <c r="P80" s="78">
        <f>IFERROR(IF(G80="","",G80*N80*(1-O80)),"")</f>
        <v>4400</v>
      </c>
      <c r="Q80" s="79"/>
    </row>
    <row r="81" spans="1:17" ht="19.5" customHeight="1" x14ac:dyDescent="0.2">
      <c r="A81" s="72" t="s">
        <v>1639</v>
      </c>
      <c r="B81" s="69" t="s">
        <v>192</v>
      </c>
      <c r="C81" s="69">
        <v>60</v>
      </c>
      <c r="D81" s="69">
        <v>295</v>
      </c>
      <c r="E81" s="69" t="s">
        <v>97</v>
      </c>
      <c r="F81" s="69" t="s">
        <v>178</v>
      </c>
      <c r="G81" s="69">
        <v>2</v>
      </c>
      <c r="H81" s="73">
        <f>IFERROR(IF(B81="","",(C81/100)*(D81/100)),"")</f>
        <v>1.77</v>
      </c>
      <c r="I81" s="74">
        <f>IFERROR(IF(B81="","",_xlfn.LET(_xlpm.tamano,IF(H81&lt;=0.5,"CHICO",IF(H81&lt;=1,"MEDIANO","GRANDE")),_xlpm.clave,B81&amp;"|"&amp;_xlpm.tamano,_xlpm.fila,MATCH(_xlpm.clave,COSTOS_M2!$H$5:$H$67,0),_xlpm.mat_m2,INDEX(IF(F81="HUANACAXTLE",COSTOS_M2!$D$5:$D$67,IF(F81="ENCINO",COSTOS_M2!$E$5:$E$67,COSTOS_M2!$F$5:$F$67)),_xlpm.fila),_xlpm.cons_m2,INDEX(COSTOS_M2!$G$5:$G$67,_xlpm.fila),_xlpm.prof_factor,IF(AND(E81&lt;&gt;"—",E81&lt;&gt;"",ISNUMBER(E81)),POWER(E81/40,1.8),1),_xlpm.total_m2,(_xlpm.mat_m2+_xlpm.cons_m2)*H81*_xlpm.prof_factor*IF(C81&gt;70,COSTOS_M2!$B$70,1)*IF(D81&gt;244,COSTOS_M2!$B$71,1),_xlpm.total_m2)),"")</f>
        <v>1585.3890000000001</v>
      </c>
      <c r="J81" s="74">
        <f>IFERROR(IF(B81="","",INDEX(MANO_DE_OBRA!$P$10:$P$72,MATCH(B81&amp;"|"&amp;IF(H81&lt;=0.5,"CHICO",IF(H81&lt;=1,"MEDIANO","GRANDE")),MANO_DE_OBRA!$Q$10:$Q$72,0))),"")</f>
        <v>587.22913499999993</v>
      </c>
      <c r="K81" s="342">
        <f>IFERROR(IF(B81="","",_xlfn.LET(_xlpm.clave_prof,B81&amp;"|"&amp;E81,_xlpm.clave_todas,B81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81" s="75">
        <f>IFERROR(IF(B81="","",IF(I81="",0,I81)+IF(J81="",0,J81)+IF(K81="",0,K81)),"")</f>
        <v>2172.6181350000002</v>
      </c>
      <c r="M81" s="75">
        <f>IFERROR(IF(L81="","",L81*$D$8),"")</f>
        <v>2715.7726687500003</v>
      </c>
      <c r="N81" s="76">
        <f>IFERROR(IF(M81="","",CEILING(M81,50)),"")</f>
        <v>2750</v>
      </c>
      <c r="O81" s="77">
        <v>0</v>
      </c>
      <c r="P81" s="78">
        <f>IFERROR(IF(G81="","",G81*N81*(1-O81)),"")</f>
        <v>5500</v>
      </c>
      <c r="Q81" s="79"/>
    </row>
    <row r="82" spans="1:17" ht="19.5" customHeight="1" x14ac:dyDescent="0.2">
      <c r="A82" s="72" t="s">
        <v>1639</v>
      </c>
      <c r="B82" s="69" t="s">
        <v>1622</v>
      </c>
      <c r="C82" s="69">
        <v>60</v>
      </c>
      <c r="D82" s="69">
        <v>295</v>
      </c>
      <c r="E82" s="69" t="s">
        <v>97</v>
      </c>
      <c r="F82" s="69" t="s">
        <v>178</v>
      </c>
      <c r="G82" s="69">
        <v>3</v>
      </c>
      <c r="H82" s="73">
        <f>IFERROR(IF(B82="","",(C82/100)*(D82/100)),"")</f>
        <v>1.77</v>
      </c>
      <c r="I82" s="74">
        <f>IFERROR(IF(B82="","",_xlfn.LET(_xlpm.tamano,IF(H82&lt;=0.5,"CHICO",IF(H82&lt;=1,"MEDIANO","GRANDE")),_xlpm.clave,B82&amp;"|"&amp;_xlpm.tamano,_xlpm.fila,MATCH(_xlpm.clave,COSTOS_M2!$H$5:$H$67,0),_xlpm.mat_m2,INDEX(IF(F82="HUANACAXTLE",COSTOS_M2!$D$5:$D$67,IF(F82="ENCINO",COSTOS_M2!$E$5:$E$67,COSTOS_M2!$F$5:$F$67)),_xlpm.fila),_xlpm.cons_m2,INDEX(COSTOS_M2!$G$5:$G$67,_xlpm.fila),_xlpm.prof_factor,IF(AND(E82&lt;&gt;"—",E82&lt;&gt;"",ISNUMBER(E82)),POWER(E82/40,1.8),1),_xlpm.total_m2,(_xlpm.mat_m2+_xlpm.cons_m2)*H82*_xlpm.prof_factor*IF(C82&gt;70,COSTOS_M2!$B$70,1)*IF(D82&gt;244,COSTOS_M2!$B$71,1),_xlpm.total_m2)),"")</f>
        <v>1714.2450000000001</v>
      </c>
      <c r="J82" s="74">
        <f>IFERROR(IF(B82="","",INDEX(MANO_DE_OBRA!$P$10:$P$72,MATCH(B82&amp;"|"&amp;IF(H82&lt;=0.5,"CHICO",IF(H82&lt;=1,"MEDIANO","GRANDE")),MANO_DE_OBRA!$Q$10:$Q$72,0))),"")</f>
        <v>725.19600000000003</v>
      </c>
      <c r="K82" s="342">
        <f>IFERROR(IF(B82="","",_xlfn.LET(_xlpm.clave_prof,B82&amp;"|"&amp;E82,_xlpm.clave_todas,B82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82" s="75">
        <f>IFERROR(IF(B82="","",IF(I82="",0,I82)+IF(J82="",0,J82)+IF(K82="",0,K82)),"")</f>
        <v>2439.4410000000003</v>
      </c>
      <c r="M82" s="75">
        <f>IFERROR(IF(L82="","",L82*$D$8),"")</f>
        <v>3049.3012500000004</v>
      </c>
      <c r="N82" s="76">
        <f>IFERROR(IF(M82="","",CEILING(M82,50)),"")</f>
        <v>3050</v>
      </c>
      <c r="O82" s="77">
        <v>0</v>
      </c>
      <c r="P82" s="78">
        <f>IFERROR(IF(G82="","",G82*N82*(1-O82)),"")</f>
        <v>9150</v>
      </c>
      <c r="Q82" s="79"/>
    </row>
    <row r="83" spans="1:17" ht="19.5" customHeight="1" x14ac:dyDescent="0.2">
      <c r="A83" s="72" t="s">
        <v>1639</v>
      </c>
      <c r="B83" s="69" t="s">
        <v>1614</v>
      </c>
      <c r="C83" s="69">
        <v>100</v>
      </c>
      <c r="D83" s="69">
        <v>60</v>
      </c>
      <c r="E83" s="69">
        <v>60</v>
      </c>
      <c r="F83" s="69" t="s">
        <v>178</v>
      </c>
      <c r="G83" s="69">
        <v>8</v>
      </c>
      <c r="H83" s="73">
        <f>IFERROR(IF(B83="","",(C83/100)*(D83/100)),"")</f>
        <v>0.6</v>
      </c>
      <c r="I83" s="74">
        <f>IFERROR(IF(B83="","",_xlfn.LET(_xlpm.tamano,IF(H83&lt;=0.5,"CHICO",IF(H83&lt;=1,"MEDIANO","GRANDE")),_xlpm.clave,B83&amp;"|"&amp;_xlpm.tamano,_xlpm.fila,MATCH(_xlpm.clave,COSTOS_M2!$H$5:$H$67,0),_xlpm.mat_m2,INDEX(IF(F83="HUANACAXTLE",COSTOS_M2!$D$5:$D$67,IF(F83="ENCINO",COSTOS_M2!$E$5:$E$67,COSTOS_M2!$F$5:$F$67)),_xlpm.fila),_xlpm.cons_m2,INDEX(COSTOS_M2!$G$5:$G$67,_xlpm.fila),_xlpm.prof_factor,IF(AND(E83&lt;&gt;"—",E83&lt;&gt;"",ISNUMBER(E83)),POWER(E83/40,1.8),1),_xlpm.total_m2,(_xlpm.mat_m2+_xlpm.cons_m2)*H83*_xlpm.prof_factor*IF(C83&gt;70,COSTOS_M2!$B$70,1)*IF(D83&gt;244,COSTOS_M2!$B$71,1),_xlpm.total_m2)),"")</f>
        <v>941.85024186655141</v>
      </c>
      <c r="J83" s="74">
        <f>IFERROR(IF(B83="","",INDEX(MANO_DE_OBRA!$P$10:$P$72,MATCH(B83&amp;"|"&amp;IF(H83&lt;=0.5,"CHICO",IF(H83&lt;=1,"MEDIANO","GRANDE")),MANO_DE_OBRA!$Q$10:$Q$72,0))),"")</f>
        <v>410.25956399999995</v>
      </c>
      <c r="K83" s="342">
        <f>IFERROR(IF(B83="","",_xlfn.LET(_xlpm.clave_prof,B83&amp;"|"&amp;E83,_xlpm.clave_todas,B83&amp;"|TODAS",_xlpm.herr_prof,SUMIFS(HERRAJES!$H$5:$H$36,HERRAJES!$J$5:$J$36,_xlpm.clave_prof),_xlpm.herr_todas,SUMIFS(HERRAJES!$H$5:$H$36,HERRAJES!$J$5:$J$36,_xlpm.clave_todas),IF(_xlpm.herr_prof&gt;0,_xlpm.herr_prof,_xlpm.herr_todas))),"")</f>
        <v>54.97</v>
      </c>
      <c r="L83" s="75">
        <f>IFERROR(IF(B83="","",IF(I83="",0,I83)+IF(J83="",0,J83)+IF(K83="",0,K83)),"")</f>
        <v>1407.0798058665514</v>
      </c>
      <c r="M83" s="75">
        <f>IFERROR(IF(L83="","",L83*$D$8),"")</f>
        <v>1758.8497573331892</v>
      </c>
      <c r="N83" s="76">
        <f>IFERROR(IF(M83="","",CEILING(M83,50)),"")</f>
        <v>1800</v>
      </c>
      <c r="O83" s="77">
        <v>0</v>
      </c>
      <c r="P83" s="78">
        <f>IFERROR(IF(G83="","",G83*N83*(1-O83)),"")</f>
        <v>14400</v>
      </c>
      <c r="Q83" s="79"/>
    </row>
    <row r="84" spans="1:17" ht="19.5" customHeight="1" x14ac:dyDescent="0.2">
      <c r="A84" s="72" t="s">
        <v>1639</v>
      </c>
      <c r="B84" s="69" t="s">
        <v>1623</v>
      </c>
      <c r="C84" s="69">
        <v>60</v>
      </c>
      <c r="D84" s="69">
        <v>100</v>
      </c>
      <c r="E84" s="69" t="s">
        <v>97</v>
      </c>
      <c r="F84" s="69" t="s">
        <v>178</v>
      </c>
      <c r="G84" s="69">
        <v>7</v>
      </c>
      <c r="H84" s="73">
        <f>IFERROR(IF(B84="","",(C84/100)*(D84/100)),"")</f>
        <v>0.6</v>
      </c>
      <c r="I84" s="74">
        <f>IFERROR(IF(B84="","",_xlfn.LET(_xlpm.tamano,IF(H84&lt;=0.5,"CHICO",IF(H84&lt;=1,"MEDIANO","GRANDE")),_xlpm.clave,B84&amp;"|"&amp;_xlpm.tamano,_xlpm.fila,MATCH(_xlpm.clave,COSTOS_M2!$H$5:$H$67,0),_xlpm.mat_m2,INDEX(IF(F84="HUANACAXTLE",COSTOS_M2!$D$5:$D$67,IF(F84="ENCINO",COSTOS_M2!$E$5:$E$67,COSTOS_M2!$F$5:$F$67)),_xlpm.fila),_xlpm.cons_m2,INDEX(COSTOS_M2!$G$5:$G$67,_xlpm.fila),_xlpm.prof_factor,IF(AND(E84&lt;&gt;"—",E84&lt;&gt;"",ISNUMBER(E84)),POWER(E84/40,1.8),1),_xlpm.total_m2,(_xlpm.mat_m2+_xlpm.cons_m2)*H84*_xlpm.prof_factor*IF(C84&gt;70,COSTOS_M2!$B$70,1)*IF(D84&gt;244,COSTOS_M2!$B$71,1),_xlpm.total_m2)),"")</f>
        <v>471</v>
      </c>
      <c r="J84" s="74">
        <f>IFERROR(IF(B84="","",INDEX(MANO_DE_OBRA!$P$10:$P$72,MATCH(B84&amp;"|"&amp;IF(H84&lt;=0.5,"CHICO",IF(H84&lt;=1,"MEDIANO","GRANDE")),MANO_DE_OBRA!$Q$10:$Q$72,0))),"")</f>
        <v>400.55880000000002</v>
      </c>
      <c r="K84" s="342">
        <f>IFERROR(IF(B84="","",_xlfn.LET(_xlpm.clave_prof,B84&amp;"|"&amp;E84,_xlpm.clave_todas,B84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84" s="75">
        <f>IFERROR(IF(B84="","",IF(I84="",0,I84)+IF(J84="",0,J84)+IF(K84="",0,K84)),"")</f>
        <v>871.55880000000002</v>
      </c>
      <c r="M84" s="75">
        <f>IFERROR(IF(L84="","",L84*$D$8),"")</f>
        <v>1089.4485</v>
      </c>
      <c r="N84" s="76">
        <f>IFERROR(IF(M84="","",CEILING(M84,50)),"")</f>
        <v>1100</v>
      </c>
      <c r="O84" s="77">
        <v>0</v>
      </c>
      <c r="P84" s="78">
        <f>IFERROR(IF(G84="","",G84*N84*(1-O84)),"")</f>
        <v>7700</v>
      </c>
      <c r="Q84" s="79"/>
    </row>
    <row r="85" spans="1:17" ht="19.5" customHeight="1" x14ac:dyDescent="0.2">
      <c r="A85" s="72" t="s">
        <v>1639</v>
      </c>
      <c r="B85" s="69" t="s">
        <v>199</v>
      </c>
      <c r="C85" s="69">
        <v>100</v>
      </c>
      <c r="D85" s="69">
        <v>20</v>
      </c>
      <c r="E85" s="69">
        <v>60</v>
      </c>
      <c r="F85" s="69" t="s">
        <v>178</v>
      </c>
      <c r="G85" s="69">
        <v>4</v>
      </c>
      <c r="H85" s="73">
        <f>IFERROR(IF(B85="","",(C85/100)*(D85/100)),"")</f>
        <v>0.2</v>
      </c>
      <c r="I85" s="74">
        <f>IFERROR(IF(B85="","",_xlfn.LET(_xlpm.tamano,IF(H85&lt;=0.5,"CHICO",IF(H85&lt;=1,"MEDIANO","GRANDE")),_xlpm.clave,B85&amp;"|"&amp;_xlpm.tamano,_xlpm.fila,MATCH(_xlpm.clave,COSTOS_M2!$H$5:$H$67,0),_xlpm.mat_m2,INDEX(IF(F85="HUANACAXTLE",COSTOS_M2!$D$5:$D$67,IF(F85="ENCINO",COSTOS_M2!$E$5:$E$67,COSTOS_M2!$F$5:$F$67)),_xlpm.fila),_xlpm.cons_m2,INDEX(COSTOS_M2!$G$5:$G$67,_xlpm.fila),_xlpm.prof_factor,IF(AND(E85&lt;&gt;"—",E85&lt;&gt;"",ISNUMBER(E85)),POWER(E85/40,1.8),1),_xlpm.total_m2,(_xlpm.mat_m2+_xlpm.cons_m2)*H85*_xlpm.prof_factor*IF(C85&gt;70,COSTOS_M2!$B$70,1)*IF(D85&gt;244,COSTOS_M2!$B$71,1),_xlpm.total_m2)),"")</f>
        <v>717.4460605283582</v>
      </c>
      <c r="J85" s="74">
        <f>IFERROR(IF(B85="","",INDEX(MANO_DE_OBRA!$P$10:$P$72,MATCH(B85&amp;"|"&amp;IF(H85&lt;=0.5,"CHICO",IF(H85&lt;=1,"MEDIANO","GRANDE")),MANO_DE_OBRA!$Q$10:$Q$72,0))),"")</f>
        <v>434.36213400000003</v>
      </c>
      <c r="K85" s="342">
        <f>IFERROR(IF(B85="","",_xlfn.LET(_xlpm.clave_prof,B85&amp;"|"&amp;E85,_xlpm.clave_todas,B85&amp;"|TODAS",_xlpm.herr_prof,SUMIFS(HERRAJES!$H$5:$H$36,HERRAJES!$J$5:$J$36,_xlpm.clave_prof),_xlpm.herr_todas,SUMIFS(HERRAJES!$H$5:$H$36,HERRAJES!$J$5:$J$36,_xlpm.clave_todas),IF(_xlpm.herr_prof&gt;0,_xlpm.herr_prof,_xlpm.herr_todas))),"")</f>
        <v>54.97</v>
      </c>
      <c r="L85" s="75">
        <f>IFERROR(IF(B85="","",IF(I85="",0,I85)+IF(J85="",0,J85)+IF(K85="",0,K85)),"")</f>
        <v>1206.7781945283582</v>
      </c>
      <c r="M85" s="75">
        <f>IFERROR(IF(L85="","",L85*$D$8),"")</f>
        <v>1508.4727431604479</v>
      </c>
      <c r="N85" s="76">
        <f>IFERROR(IF(M85="","",CEILING(M85,50)),"")</f>
        <v>1550</v>
      </c>
      <c r="O85" s="77">
        <v>0</v>
      </c>
      <c r="P85" s="78">
        <f>IFERROR(IF(G85="","",G85*N85*(1-O85)),"")</f>
        <v>6200</v>
      </c>
      <c r="Q85" s="79"/>
    </row>
    <row r="86" spans="1:17" ht="19.5" customHeight="1" x14ac:dyDescent="0.2">
      <c r="A86" s="72" t="s">
        <v>1639</v>
      </c>
      <c r="B86" s="432" t="s">
        <v>1649</v>
      </c>
      <c r="C86" s="69"/>
      <c r="D86" s="69"/>
      <c r="E86" s="69" t="s">
        <v>97</v>
      </c>
      <c r="F86" s="69"/>
      <c r="G86" s="69"/>
      <c r="H86" s="73">
        <f>IFERROR(IF(B86="","",(C86/100)*(D86/100)),"")</f>
        <v>0</v>
      </c>
      <c r="I86" s="74" t="str">
        <f>IFERROR(IF(B86="","",_xlfn.LET(_xlpm.tamano,IF(H86&lt;=0.5,"CHICO",IF(H86&lt;=1,"MEDIANO","GRANDE")),_xlpm.clave,B86&amp;"|"&amp;_xlpm.tamano,_xlpm.fila,MATCH(_xlpm.clave,COSTOS_M2!$H$5:$H$67,0),_xlpm.mat_m2,INDEX(IF(F86="HUANACAXTLE",COSTOS_M2!$D$5:$D$67,IF(F86="ENCINO",COSTOS_M2!$E$5:$E$67,COSTOS_M2!$F$5:$F$67)),_xlpm.fila),_xlpm.cons_m2,INDEX(COSTOS_M2!$G$5:$G$67,_xlpm.fila),_xlpm.prof_factor,IF(AND(E86&lt;&gt;"—",E86&lt;&gt;"",ISNUMBER(E86)),POWER(E86/40,1.8),1),_xlpm.total_m2,(_xlpm.mat_m2+_xlpm.cons_m2)*H86*_xlpm.prof_factor*IF(C86&gt;70,COSTOS_M2!$B$70,1)*IF(D86&gt;244,COSTOS_M2!$B$71,1),_xlpm.total_m2)),"")</f>
        <v/>
      </c>
      <c r="J86" s="74" t="str">
        <f>IFERROR(IF(B86="","",INDEX(MANO_DE_OBRA!$P$10:$P$72,MATCH(B86&amp;"|"&amp;IF(H86&lt;=0.5,"CHICO",IF(H86&lt;=1,"MEDIANO","GRANDE")),MANO_DE_OBRA!$Q$10:$Q$72,0))),"")</f>
        <v/>
      </c>
      <c r="K86" s="342">
        <f>IFERROR(IF(B86="","",_xlfn.LET(_xlpm.clave_prof,B86&amp;"|"&amp;E86,_xlpm.clave_todas,B86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86" s="75">
        <f>IFERROR(IF(B86="","",IF(I86="",0,I86)+IF(J86="",0,J86)+IF(K86="",0,K86)),"")</f>
        <v>0</v>
      </c>
      <c r="M86" s="75">
        <f>IFERROR(IF(L86="","",L86*$D$8),"")</f>
        <v>0</v>
      </c>
      <c r="N86" s="76">
        <f>IFERROR(IF(M86="","",CEILING(M86,50)),"")</f>
        <v>0</v>
      </c>
      <c r="O86" s="77"/>
      <c r="P86" s="78" t="str">
        <f>IFERROR(IF(G86="","",G86*N86*(1-O86)),"")</f>
        <v/>
      </c>
      <c r="Q86" s="79"/>
    </row>
    <row r="87" spans="1:17" ht="19.5" customHeight="1" x14ac:dyDescent="0.2">
      <c r="A87" s="72" t="s">
        <v>1639</v>
      </c>
      <c r="B87" s="69" t="s">
        <v>203</v>
      </c>
      <c r="C87" s="69" t="s">
        <v>205</v>
      </c>
      <c r="D87" s="69">
        <v>100</v>
      </c>
      <c r="E87" s="69" t="s">
        <v>97</v>
      </c>
      <c r="F87" s="69" t="s">
        <v>178</v>
      </c>
      <c r="G87" s="69">
        <v>6</v>
      </c>
      <c r="H87" s="73" t="str">
        <f>IFERROR(IF(B87="","",(C87/100)*(D87/100)),"")</f>
        <v/>
      </c>
      <c r="I87" s="74" t="str">
        <f>IFERROR(IF(B87="","",_xlfn.LET(_xlpm.tamano,IF(H87&lt;=0.5,"CHICO",IF(H87&lt;=1,"MEDIANO","GRANDE")),_xlpm.clave,B87&amp;"|"&amp;_xlpm.tamano,_xlpm.fila,MATCH(_xlpm.clave,COSTOS_M2!$H$5:$H$67,0),_xlpm.mat_m2,INDEX(IF(F87="HUANACAXTLE",COSTOS_M2!$D$5:$D$67,IF(F87="ENCINO",COSTOS_M2!$E$5:$E$67,COSTOS_M2!$F$5:$F$67)),_xlpm.fila),_xlpm.cons_m2,INDEX(COSTOS_M2!$G$5:$G$67,_xlpm.fila),_xlpm.prof_factor,IF(AND(E87&lt;&gt;"—",E87&lt;&gt;"",ISNUMBER(E87)),POWER(E87/40,1.8),1),_xlpm.total_m2,(_xlpm.mat_m2+_xlpm.cons_m2)*H87*_xlpm.prof_factor*IF(C87&gt;70,COSTOS_M2!$B$70,1)*IF(D87&gt;244,COSTOS_M2!$B$71,1),_xlpm.total_m2)),"")</f>
        <v/>
      </c>
      <c r="J87" s="74">
        <f>IFERROR(IF(B87="","",INDEX(MANO_DE_OBRA!$P$10:$P$72,MATCH(B87&amp;"|"&amp;IF(H87&lt;=0.5,"CHICO",IF(H87&lt;=1,"MEDIANO","GRANDE")),MANO_DE_OBRA!$Q$10:$Q$72,0))),"")</f>
        <v>25.592999999999996</v>
      </c>
      <c r="K87" s="342">
        <f>IFERROR(IF(B87="","",_xlfn.LET(_xlpm.clave_prof,B87&amp;"|"&amp;E87,_xlpm.clave_todas,B87&amp;"|TODAS",_xlpm.herr_prof,SUMIFS(HERRAJES!$H$5:$H$36,HERRAJES!$J$5:$J$36,_xlpm.clave_prof),_xlpm.herr_todas,SUMIFS(HERRAJES!$H$5:$H$36,HERRAJES!$J$5:$J$36,_xlpm.clave_todas),IF(_xlpm.herr_prof&gt;0,_xlpm.herr_prof,_xlpm.herr_todas))),"")</f>
        <v>2.74</v>
      </c>
      <c r="L87" s="75">
        <f>IFERROR(IF(B87="","",IF(I87="",0,I87)+IF(J87="",0,J87)+IF(K87="",0,K87)),"")</f>
        <v>28.332999999999998</v>
      </c>
      <c r="M87" s="75">
        <f>IFERROR(IF(L87="","",L87*$D$8),"")</f>
        <v>35.416249999999998</v>
      </c>
      <c r="N87" s="76">
        <f>IFERROR(IF(M87="","",CEILING(M87,50)),"")</f>
        <v>50</v>
      </c>
      <c r="O87" s="77">
        <v>0</v>
      </c>
      <c r="P87" s="78">
        <f>IFERROR(IF(G87="","",G87*N87*(1-O87)),"")</f>
        <v>300</v>
      </c>
      <c r="Q87" s="79"/>
    </row>
    <row r="88" spans="1:17" ht="19.5" customHeight="1" x14ac:dyDescent="0.2">
      <c r="A88" s="72" t="s">
        <v>1639</v>
      </c>
      <c r="B88" s="69" t="s">
        <v>1628</v>
      </c>
      <c r="C88" s="69">
        <v>409</v>
      </c>
      <c r="D88" s="69">
        <v>305</v>
      </c>
      <c r="E88" s="69" t="s">
        <v>97</v>
      </c>
      <c r="F88" s="69" t="s">
        <v>178</v>
      </c>
      <c r="G88" s="69">
        <v>1</v>
      </c>
      <c r="H88" s="73">
        <f>IFERROR(IF(B88="","",(C88/100)*(D88/100)),"")</f>
        <v>12.474499999999999</v>
      </c>
      <c r="I88" s="74">
        <f>IFERROR(IF(B88="","",_xlfn.LET(_xlpm.tamano,IF(H88&lt;=0.5,"CHICO",IF(H88&lt;=1,"MEDIANO","GRANDE")),_xlpm.clave,B88&amp;"|"&amp;_xlpm.tamano,_xlpm.fila,MATCH(_xlpm.clave,COSTOS_M2!$H$5:$H$67,0),_xlpm.mat_m2,INDEX(IF(F88="HUANACAXTLE",COSTOS_M2!$D$5:$D$67,IF(F88="ENCINO",COSTOS_M2!$E$5:$E$67,COSTOS_M2!$F$5:$F$67)),_xlpm.fila),_xlpm.cons_m2,INDEX(COSTOS_M2!$G$5:$G$67,_xlpm.fila),_xlpm.prof_factor,IF(AND(E88&lt;&gt;"—",E88&lt;&gt;"",ISNUMBER(E88)),POWER(E88/40,1.8),1),_xlpm.total_m2,(_xlpm.mat_m2+_xlpm.cons_m2)*H88*_xlpm.prof_factor*IF(C88&gt;70,COSTOS_M2!$B$70,1)*IF(D88&gt;244,COSTOS_M2!$B$71,1),_xlpm.total_m2)),"")</f>
        <v>4954.2476749999996</v>
      </c>
      <c r="J88" s="74">
        <f>IFERROR(IF(B88="","",INDEX(MANO_DE_OBRA!$P$10:$P$72,MATCH(B88&amp;"|"&amp;IF(H88&lt;=0.5,"CHICO",IF(H88&lt;=1,"MEDIANO","GRANDE")),MANO_DE_OBRA!$Q$10:$Q$72,0))),"")</f>
        <v>295.7955</v>
      </c>
      <c r="K88" s="342">
        <f>IFERROR(IF(B88="","",_xlfn.LET(_xlpm.clave_prof,B88&amp;"|"&amp;E88,_xlpm.clave_todas,B88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88" s="75">
        <f>IFERROR(IF(B88="","",IF(I88="",0,I88)+IF(J88="",0,J88)+IF(K88="",0,K88)),"")</f>
        <v>5250.0431749999998</v>
      </c>
      <c r="M88" s="75">
        <f>IFERROR(IF(L88="","",L88*$D$8),"")</f>
        <v>6562.5539687499995</v>
      </c>
      <c r="N88" s="76">
        <f>IFERROR(IF(M88="","",CEILING(M88,50)),"")</f>
        <v>6600</v>
      </c>
      <c r="O88" s="77">
        <v>0</v>
      </c>
      <c r="P88" s="78">
        <f>IFERROR(IF(G88="","",G88*N88*(1-O88)),"")</f>
        <v>6600</v>
      </c>
      <c r="Q88" s="79"/>
    </row>
    <row r="89" spans="1:17" ht="19.5" customHeight="1" x14ac:dyDescent="0.2">
      <c r="A89" s="72" t="s">
        <v>1639</v>
      </c>
      <c r="B89" s="69" t="s">
        <v>1626</v>
      </c>
      <c r="C89" s="69">
        <v>5</v>
      </c>
      <c r="D89" s="69">
        <v>820</v>
      </c>
      <c r="E89" s="69" t="s">
        <v>97</v>
      </c>
      <c r="F89" s="69" t="s">
        <v>178</v>
      </c>
      <c r="G89" s="69">
        <v>1</v>
      </c>
      <c r="H89" s="73">
        <f>IFERROR(IF(B89="","",(C89/100)*(D89/100)),"")</f>
        <v>0.41</v>
      </c>
      <c r="I89" s="74">
        <f>IFERROR(IF(B89="","",_xlfn.LET(_xlpm.tamano,IF(H89&lt;=0.5,"CHICO",IF(H89&lt;=1,"MEDIANO","GRANDE")),_xlpm.clave,B89&amp;"|"&amp;_xlpm.tamano,_xlpm.fila,MATCH(_xlpm.clave,COSTOS_M2!$H$5:$H$67,0),_xlpm.mat_m2,INDEX(IF(F89="HUANACAXTLE",COSTOS_M2!$D$5:$D$67,IF(F89="ENCINO",COSTOS_M2!$E$5:$E$67,COSTOS_M2!$F$5:$F$67)),_xlpm.fila),_xlpm.cons_m2,INDEX(COSTOS_M2!$G$5:$G$67,_xlpm.fila),_xlpm.prof_factor,IF(AND(E89&lt;&gt;"—",E89&lt;&gt;"",ISNUMBER(E89)),POWER(E89/40,1.8),1),_xlpm.total_m2,(_xlpm.mat_m2+_xlpm.cons_m2)*H89*_xlpm.prof_factor*IF(C89&gt;70,COSTOS_M2!$B$70,1)*IF(D89&gt;244,COSTOS_M2!$B$71,1),_xlpm.total_m2)),"")</f>
        <v>2744.9500000000003</v>
      </c>
      <c r="J89" s="74">
        <f>IFERROR(IF(B89="","",INDEX(MANO_DE_OBRA!$P$10:$P$72,MATCH(B89&amp;"|"&amp;IF(H89&lt;=0.5,"CHICO",IF(H89&lt;=1,"MEDIANO","GRANDE")),MANO_DE_OBRA!$Q$10:$Q$72,0))),"")</f>
        <v>477.459</v>
      </c>
      <c r="K89" s="342">
        <f>IFERROR(IF(B89="","",_xlfn.LET(_xlpm.clave_prof,B89&amp;"|"&amp;E89,_xlpm.clave_todas,B89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89" s="75">
        <f>IFERROR(IF(B89="","",IF(I89="",0,I89)+IF(J89="",0,J89)+IF(K89="",0,K89)),"")</f>
        <v>3222.4090000000001</v>
      </c>
      <c r="M89" s="75">
        <f>IFERROR(IF(L89="","",L89*$D$8),"")</f>
        <v>4028.01125</v>
      </c>
      <c r="N89" s="76">
        <f>IFERROR(IF(M89="","",CEILING(M89,50)),"")</f>
        <v>4050</v>
      </c>
      <c r="O89" s="77">
        <v>0</v>
      </c>
      <c r="P89" s="78">
        <f>IFERROR(IF(G89="","",G89*N89*(1-O89)),"")</f>
        <v>4050</v>
      </c>
      <c r="Q89" s="79"/>
    </row>
    <row r="90" spans="1:17" ht="19.5" customHeight="1" x14ac:dyDescent="0.2">
      <c r="A90" s="72" t="s">
        <v>1640</v>
      </c>
      <c r="B90" s="69" t="s">
        <v>195</v>
      </c>
      <c r="C90" s="69">
        <v>60</v>
      </c>
      <c r="D90" s="69">
        <v>205</v>
      </c>
      <c r="E90" s="69" t="s">
        <v>97</v>
      </c>
      <c r="F90" s="69" t="s">
        <v>178</v>
      </c>
      <c r="G90" s="69">
        <v>1</v>
      </c>
      <c r="H90" s="73">
        <f>IFERROR(IF(B90="","",(C90/100)*(D90/100)),"")</f>
        <v>1.2299999999999998</v>
      </c>
      <c r="I90" s="74">
        <f>IFERROR(IF(B90="","",_xlfn.LET(_xlpm.tamano,IF(H90&lt;=0.5,"CHICO",IF(H90&lt;=1,"MEDIANO","GRANDE")),_xlpm.clave,B90&amp;"|"&amp;_xlpm.tamano,_xlpm.fila,MATCH(_xlpm.clave,COSTOS_M2!$H$5:$H$67,0),_xlpm.mat_m2,INDEX(IF(F90="HUANACAXTLE",COSTOS_M2!$D$5:$D$67,IF(F90="ENCINO",COSTOS_M2!$E$5:$E$67,COSTOS_M2!$F$5:$F$67)),_xlpm.fila),_xlpm.cons_m2,INDEX(COSTOS_M2!$G$5:$G$67,_xlpm.fila),_xlpm.prof_factor,IF(AND(E90&lt;&gt;"—",E90&lt;&gt;"",ISNUMBER(E90)),POWER(E90/40,1.8),1),_xlpm.total_m2,(_xlpm.mat_m2+_xlpm.cons_m2)*H90*_xlpm.prof_factor*IF(C90&gt;70,COSTOS_M2!$B$70,1)*IF(D90&gt;244,COSTOS_M2!$B$71,1),_xlpm.total_m2)),"")</f>
        <v>827.78999999999985</v>
      </c>
      <c r="J90" s="74">
        <f>IFERROR(IF(B90="","",INDEX(MANO_DE_OBRA!$P$10:$P$72,MATCH(B90&amp;"|"&amp;IF(H90&lt;=0.5,"CHICO",IF(H90&lt;=1,"MEDIANO","GRANDE")),MANO_DE_OBRA!$Q$10:$Q$72,0))),"")</f>
        <v>614.34549000000015</v>
      </c>
      <c r="K90" s="342">
        <f>IFERROR(IF(B90="","",_xlfn.LET(_xlpm.clave_prof,B90&amp;"|"&amp;E90,_xlpm.clave_todas,B90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90" s="75">
        <f>IFERROR(IF(B90="","",IF(I90="",0,I90)+IF(J90="",0,J90)+IF(K90="",0,K90)),"")</f>
        <v>1442.1354900000001</v>
      </c>
      <c r="M90" s="75">
        <f>IFERROR(IF(L90="","",L90*$D$8),"")</f>
        <v>1802.6693625000003</v>
      </c>
      <c r="N90" s="76">
        <f>IFERROR(IF(M90="","",CEILING(M90,50)),"")</f>
        <v>1850</v>
      </c>
      <c r="O90" s="77">
        <v>0</v>
      </c>
      <c r="P90" s="78">
        <f>IFERROR(IF(G90="","",G90*N90*(1-O90)),"")</f>
        <v>1850</v>
      </c>
      <c r="Q90" s="79"/>
    </row>
    <row r="91" spans="1:17" ht="19.5" customHeight="1" x14ac:dyDescent="0.2">
      <c r="A91" s="72" t="s">
        <v>1640</v>
      </c>
      <c r="B91" s="69" t="s">
        <v>196</v>
      </c>
      <c r="C91" s="69">
        <v>60</v>
      </c>
      <c r="D91" s="69">
        <v>205</v>
      </c>
      <c r="E91" s="69" t="s">
        <v>97</v>
      </c>
      <c r="F91" s="69" t="s">
        <v>178</v>
      </c>
      <c r="G91" s="69">
        <v>2</v>
      </c>
      <c r="H91" s="73">
        <f>IFERROR(IF(B91="","",(C91/100)*(D91/100)),"")</f>
        <v>1.2299999999999998</v>
      </c>
      <c r="I91" s="74">
        <f>IFERROR(IF(B91="","",_xlfn.LET(_xlpm.tamano,IF(H91&lt;=0.5,"CHICO",IF(H91&lt;=1,"MEDIANO","GRANDE")),_xlpm.clave,B91&amp;"|"&amp;_xlpm.tamano,_xlpm.fila,MATCH(_xlpm.clave,COSTOS_M2!$H$5:$H$67,0),_xlpm.mat_m2,INDEX(IF(F91="HUANACAXTLE",COSTOS_M2!$D$5:$D$67,IF(F91="ENCINO",COSTOS_M2!$E$5:$E$67,COSTOS_M2!$F$5:$F$67)),_xlpm.fila),_xlpm.cons_m2,INDEX(COSTOS_M2!$G$5:$G$67,_xlpm.fila),_xlpm.prof_factor,IF(AND(E91&lt;&gt;"—",E91&lt;&gt;"",ISNUMBER(E91)),POWER(E91/40,1.8),1),_xlpm.total_m2,(_xlpm.mat_m2+_xlpm.cons_m2)*H91*_xlpm.prof_factor*IF(C91&gt;70,COSTOS_M2!$B$70,1)*IF(D91&gt;244,COSTOS_M2!$B$71,1),_xlpm.total_m2)),"")</f>
        <v>993.8399999999998</v>
      </c>
      <c r="J91" s="74">
        <f>IFERROR(IF(B91="","",INDEX(MANO_DE_OBRA!$P$10:$P$72,MATCH(B91&amp;"|"&amp;IF(H91&lt;=0.5,"CHICO",IF(H91&lt;=1,"MEDIANO","GRANDE")),MANO_DE_OBRA!$Q$10:$Q$72,0))),"")</f>
        <v>762.95904000000007</v>
      </c>
      <c r="K91" s="342">
        <f>IFERROR(IF(B91="","",_xlfn.LET(_xlpm.clave_prof,B91&amp;"|"&amp;E91,_xlpm.clave_todas,B91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91" s="75">
        <f>IFERROR(IF(B91="","",IF(I91="",0,I91)+IF(J91="",0,J91)+IF(K91="",0,K91)),"")</f>
        <v>1756.7990399999999</v>
      </c>
      <c r="M91" s="75">
        <f>IFERROR(IF(L91="","",L91*$D$8),"")</f>
        <v>2195.9987999999998</v>
      </c>
      <c r="N91" s="76">
        <f>IFERROR(IF(M91="","",CEILING(M91,50)),"")</f>
        <v>2200</v>
      </c>
      <c r="O91" s="77">
        <v>0</v>
      </c>
      <c r="P91" s="78">
        <f>IFERROR(IF(G91="","",G91*N91*(1-O91)),"")</f>
        <v>4400</v>
      </c>
      <c r="Q91" s="79"/>
    </row>
    <row r="92" spans="1:17" ht="19.5" customHeight="1" x14ac:dyDescent="0.2">
      <c r="A92" s="72" t="s">
        <v>1640</v>
      </c>
      <c r="B92" s="69" t="s">
        <v>192</v>
      </c>
      <c r="C92" s="69">
        <v>60</v>
      </c>
      <c r="D92" s="69">
        <v>295</v>
      </c>
      <c r="E92" s="69" t="s">
        <v>97</v>
      </c>
      <c r="F92" s="69" t="s">
        <v>178</v>
      </c>
      <c r="G92" s="69">
        <v>2</v>
      </c>
      <c r="H92" s="73">
        <f>IFERROR(IF(B92="","",(C92/100)*(D92/100)),"")</f>
        <v>1.77</v>
      </c>
      <c r="I92" s="74">
        <f>IFERROR(IF(B92="","",_xlfn.LET(_xlpm.tamano,IF(H92&lt;=0.5,"CHICO",IF(H92&lt;=1,"MEDIANO","GRANDE")),_xlpm.clave,B92&amp;"|"&amp;_xlpm.tamano,_xlpm.fila,MATCH(_xlpm.clave,COSTOS_M2!$H$5:$H$67,0),_xlpm.mat_m2,INDEX(IF(F92="HUANACAXTLE",COSTOS_M2!$D$5:$D$67,IF(F92="ENCINO",COSTOS_M2!$E$5:$E$67,COSTOS_M2!$F$5:$F$67)),_xlpm.fila),_xlpm.cons_m2,INDEX(COSTOS_M2!$G$5:$G$67,_xlpm.fila),_xlpm.prof_factor,IF(AND(E92&lt;&gt;"—",E92&lt;&gt;"",ISNUMBER(E92)),POWER(E92/40,1.8),1),_xlpm.total_m2,(_xlpm.mat_m2+_xlpm.cons_m2)*H92*_xlpm.prof_factor*IF(C92&gt;70,COSTOS_M2!$B$70,1)*IF(D92&gt;244,COSTOS_M2!$B$71,1),_xlpm.total_m2)),"")</f>
        <v>1585.3890000000001</v>
      </c>
      <c r="J92" s="74">
        <f>IFERROR(IF(B92="","",INDEX(MANO_DE_OBRA!$P$10:$P$72,MATCH(B92&amp;"|"&amp;IF(H92&lt;=0.5,"CHICO",IF(H92&lt;=1,"MEDIANO","GRANDE")),MANO_DE_OBRA!$Q$10:$Q$72,0))),"")</f>
        <v>587.22913499999993</v>
      </c>
      <c r="K92" s="342">
        <f>IFERROR(IF(B92="","",_xlfn.LET(_xlpm.clave_prof,B92&amp;"|"&amp;E92,_xlpm.clave_todas,B92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92" s="75">
        <f>IFERROR(IF(B92="","",IF(I92="",0,I92)+IF(J92="",0,J92)+IF(K92="",0,K92)),"")</f>
        <v>2172.6181350000002</v>
      </c>
      <c r="M92" s="75">
        <f>IFERROR(IF(L92="","",L92*$D$8),"")</f>
        <v>2715.7726687500003</v>
      </c>
      <c r="N92" s="76">
        <f>IFERROR(IF(M92="","",CEILING(M92,50)),"")</f>
        <v>2750</v>
      </c>
      <c r="O92" s="77">
        <v>0</v>
      </c>
      <c r="P92" s="78">
        <f>IFERROR(IF(G92="","",G92*N92*(1-O92)),"")</f>
        <v>5500</v>
      </c>
      <c r="Q92" s="79"/>
    </row>
    <row r="93" spans="1:17" ht="19.5" customHeight="1" x14ac:dyDescent="0.2">
      <c r="A93" s="72" t="s">
        <v>1640</v>
      </c>
      <c r="B93" s="69" t="s">
        <v>1622</v>
      </c>
      <c r="C93" s="69">
        <v>60</v>
      </c>
      <c r="D93" s="69">
        <v>295</v>
      </c>
      <c r="E93" s="69" t="s">
        <v>97</v>
      </c>
      <c r="F93" s="69" t="s">
        <v>178</v>
      </c>
      <c r="G93" s="69">
        <v>3</v>
      </c>
      <c r="H93" s="73">
        <f>IFERROR(IF(B93="","",(C93/100)*(D93/100)),"")</f>
        <v>1.77</v>
      </c>
      <c r="I93" s="74">
        <f>IFERROR(IF(B93="","",_xlfn.LET(_xlpm.tamano,IF(H93&lt;=0.5,"CHICO",IF(H93&lt;=1,"MEDIANO","GRANDE")),_xlpm.clave,B93&amp;"|"&amp;_xlpm.tamano,_xlpm.fila,MATCH(_xlpm.clave,COSTOS_M2!$H$5:$H$67,0),_xlpm.mat_m2,INDEX(IF(F93="HUANACAXTLE",COSTOS_M2!$D$5:$D$67,IF(F93="ENCINO",COSTOS_M2!$E$5:$E$67,COSTOS_M2!$F$5:$F$67)),_xlpm.fila),_xlpm.cons_m2,INDEX(COSTOS_M2!$G$5:$G$67,_xlpm.fila),_xlpm.prof_factor,IF(AND(E93&lt;&gt;"—",E93&lt;&gt;"",ISNUMBER(E93)),POWER(E93/40,1.8),1),_xlpm.total_m2,(_xlpm.mat_m2+_xlpm.cons_m2)*H93*_xlpm.prof_factor*IF(C93&gt;70,COSTOS_M2!$B$70,1)*IF(D93&gt;244,COSTOS_M2!$B$71,1),_xlpm.total_m2)),"")</f>
        <v>1714.2450000000001</v>
      </c>
      <c r="J93" s="74">
        <f>IFERROR(IF(B93="","",INDEX(MANO_DE_OBRA!$P$10:$P$72,MATCH(B93&amp;"|"&amp;IF(H93&lt;=0.5,"CHICO",IF(H93&lt;=1,"MEDIANO","GRANDE")),MANO_DE_OBRA!$Q$10:$Q$72,0))),"")</f>
        <v>725.19600000000003</v>
      </c>
      <c r="K93" s="342">
        <f>IFERROR(IF(B93="","",_xlfn.LET(_xlpm.clave_prof,B93&amp;"|"&amp;E93,_xlpm.clave_todas,B93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93" s="75">
        <f>IFERROR(IF(B93="","",IF(I93="",0,I93)+IF(J93="",0,J93)+IF(K93="",0,K93)),"")</f>
        <v>2439.4410000000003</v>
      </c>
      <c r="M93" s="75">
        <f>IFERROR(IF(L93="","",L93*$D$8),"")</f>
        <v>3049.3012500000004</v>
      </c>
      <c r="N93" s="76">
        <f>IFERROR(IF(M93="","",CEILING(M93,50)),"")</f>
        <v>3050</v>
      </c>
      <c r="O93" s="77">
        <v>0</v>
      </c>
      <c r="P93" s="78">
        <f>IFERROR(IF(G93="","",G93*N93*(1-O93)),"")</f>
        <v>9150</v>
      </c>
      <c r="Q93" s="79"/>
    </row>
    <row r="94" spans="1:17" ht="19.5" customHeight="1" x14ac:dyDescent="0.2">
      <c r="A94" s="72" t="s">
        <v>1640</v>
      </c>
      <c r="B94" s="69" t="s">
        <v>1614</v>
      </c>
      <c r="C94" s="69">
        <v>100</v>
      </c>
      <c r="D94" s="69">
        <v>60</v>
      </c>
      <c r="E94" s="69">
        <v>60</v>
      </c>
      <c r="F94" s="69" t="s">
        <v>178</v>
      </c>
      <c r="G94" s="69">
        <v>8</v>
      </c>
      <c r="H94" s="73">
        <f>IFERROR(IF(B94="","",(C94/100)*(D94/100)),"")</f>
        <v>0.6</v>
      </c>
      <c r="I94" s="74">
        <f>IFERROR(IF(B94="","",_xlfn.LET(_xlpm.tamano,IF(H94&lt;=0.5,"CHICO",IF(H94&lt;=1,"MEDIANO","GRANDE")),_xlpm.clave,B94&amp;"|"&amp;_xlpm.tamano,_xlpm.fila,MATCH(_xlpm.clave,COSTOS_M2!$H$5:$H$67,0),_xlpm.mat_m2,INDEX(IF(F94="HUANACAXTLE",COSTOS_M2!$D$5:$D$67,IF(F94="ENCINO",COSTOS_M2!$E$5:$E$67,COSTOS_M2!$F$5:$F$67)),_xlpm.fila),_xlpm.cons_m2,INDEX(COSTOS_M2!$G$5:$G$67,_xlpm.fila),_xlpm.prof_factor,IF(AND(E94&lt;&gt;"—",E94&lt;&gt;"",ISNUMBER(E94)),POWER(E94/40,1.8),1),_xlpm.total_m2,(_xlpm.mat_m2+_xlpm.cons_m2)*H94*_xlpm.prof_factor*IF(C94&gt;70,COSTOS_M2!$B$70,1)*IF(D94&gt;244,COSTOS_M2!$B$71,1),_xlpm.total_m2)),"")</f>
        <v>941.85024186655141</v>
      </c>
      <c r="J94" s="74">
        <f>IFERROR(IF(B94="","",INDEX(MANO_DE_OBRA!$P$10:$P$72,MATCH(B94&amp;"|"&amp;IF(H94&lt;=0.5,"CHICO",IF(H94&lt;=1,"MEDIANO","GRANDE")),MANO_DE_OBRA!$Q$10:$Q$72,0))),"")</f>
        <v>410.25956399999995</v>
      </c>
      <c r="K94" s="342">
        <f>IFERROR(IF(B94="","",_xlfn.LET(_xlpm.clave_prof,B94&amp;"|"&amp;E94,_xlpm.clave_todas,B94&amp;"|TODAS",_xlpm.herr_prof,SUMIFS(HERRAJES!$H$5:$H$36,HERRAJES!$J$5:$J$36,_xlpm.clave_prof),_xlpm.herr_todas,SUMIFS(HERRAJES!$H$5:$H$36,HERRAJES!$J$5:$J$36,_xlpm.clave_todas),IF(_xlpm.herr_prof&gt;0,_xlpm.herr_prof,_xlpm.herr_todas))),"")</f>
        <v>54.97</v>
      </c>
      <c r="L94" s="75">
        <f>IFERROR(IF(B94="","",IF(I94="",0,I94)+IF(J94="",0,J94)+IF(K94="",0,K94)),"")</f>
        <v>1407.0798058665514</v>
      </c>
      <c r="M94" s="75">
        <f>IFERROR(IF(L94="","",L94*$D$8),"")</f>
        <v>1758.8497573331892</v>
      </c>
      <c r="N94" s="76">
        <f>IFERROR(IF(M94="","",CEILING(M94,50)),"")</f>
        <v>1800</v>
      </c>
      <c r="O94" s="77">
        <v>0</v>
      </c>
      <c r="P94" s="78">
        <f>IFERROR(IF(G94="","",G94*N94*(1-O94)),"")</f>
        <v>14400</v>
      </c>
      <c r="Q94" s="79"/>
    </row>
    <row r="95" spans="1:17" ht="19.5" customHeight="1" x14ac:dyDescent="0.2">
      <c r="A95" s="72" t="s">
        <v>1640</v>
      </c>
      <c r="B95" s="69" t="s">
        <v>1623</v>
      </c>
      <c r="C95" s="69">
        <v>60</v>
      </c>
      <c r="D95" s="69">
        <v>100</v>
      </c>
      <c r="E95" s="69" t="s">
        <v>97</v>
      </c>
      <c r="F95" s="69" t="s">
        <v>178</v>
      </c>
      <c r="G95" s="69">
        <v>4</v>
      </c>
      <c r="H95" s="73">
        <f>IFERROR(IF(B95="","",(C95/100)*(D95/100)),"")</f>
        <v>0.6</v>
      </c>
      <c r="I95" s="74">
        <f>IFERROR(IF(B95="","",_xlfn.LET(_xlpm.tamano,IF(H95&lt;=0.5,"CHICO",IF(H95&lt;=1,"MEDIANO","GRANDE")),_xlpm.clave,B95&amp;"|"&amp;_xlpm.tamano,_xlpm.fila,MATCH(_xlpm.clave,COSTOS_M2!$H$5:$H$67,0),_xlpm.mat_m2,INDEX(IF(F95="HUANACAXTLE",COSTOS_M2!$D$5:$D$67,IF(F95="ENCINO",COSTOS_M2!$E$5:$E$67,COSTOS_M2!$F$5:$F$67)),_xlpm.fila),_xlpm.cons_m2,INDEX(COSTOS_M2!$G$5:$G$67,_xlpm.fila),_xlpm.prof_factor,IF(AND(E95&lt;&gt;"—",E95&lt;&gt;"",ISNUMBER(E95)),POWER(E95/40,1.8),1),_xlpm.total_m2,(_xlpm.mat_m2+_xlpm.cons_m2)*H95*_xlpm.prof_factor*IF(C95&gt;70,COSTOS_M2!$B$70,1)*IF(D95&gt;244,COSTOS_M2!$B$71,1),_xlpm.total_m2)),"")</f>
        <v>471</v>
      </c>
      <c r="J95" s="74">
        <f>IFERROR(IF(B95="","",INDEX(MANO_DE_OBRA!$P$10:$P$72,MATCH(B95&amp;"|"&amp;IF(H95&lt;=0.5,"CHICO",IF(H95&lt;=1,"MEDIANO","GRANDE")),MANO_DE_OBRA!$Q$10:$Q$72,0))),"")</f>
        <v>400.55880000000002</v>
      </c>
      <c r="K95" s="342">
        <f>IFERROR(IF(B95="","",_xlfn.LET(_xlpm.clave_prof,B95&amp;"|"&amp;E95,_xlpm.clave_todas,B95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95" s="75">
        <f>IFERROR(IF(B95="","",IF(I95="",0,I95)+IF(J95="",0,J95)+IF(K95="",0,K95)),"")</f>
        <v>871.55880000000002</v>
      </c>
      <c r="M95" s="75">
        <f>IFERROR(IF(L95="","",L95*$D$8),"")</f>
        <v>1089.4485</v>
      </c>
      <c r="N95" s="76">
        <f>IFERROR(IF(M95="","",CEILING(M95,50)),"")</f>
        <v>1100</v>
      </c>
      <c r="O95" s="77">
        <v>0</v>
      </c>
      <c r="P95" s="78">
        <f>IFERROR(IF(G95="","",G95*N95*(1-O95)),"")</f>
        <v>4400</v>
      </c>
      <c r="Q95" s="79"/>
    </row>
    <row r="96" spans="1:17" ht="19.5" customHeight="1" x14ac:dyDescent="0.2">
      <c r="A96" s="72" t="s">
        <v>1640</v>
      </c>
      <c r="B96" s="69" t="s">
        <v>197</v>
      </c>
      <c r="C96" s="69">
        <v>60</v>
      </c>
      <c r="D96" s="69">
        <v>100</v>
      </c>
      <c r="E96" s="69" t="s">
        <v>97</v>
      </c>
      <c r="F96" s="69" t="s">
        <v>178</v>
      </c>
      <c r="G96" s="69">
        <v>5</v>
      </c>
      <c r="H96" s="73">
        <f>IFERROR(IF(B96="","",(C96/100)*(D96/100)),"")</f>
        <v>0.6</v>
      </c>
      <c r="I96" s="74">
        <f>IFERROR(IF(B96="","",_xlfn.LET(_xlpm.tamano,IF(H96&lt;=0.5,"CHICO",IF(H96&lt;=1,"MEDIANO","GRANDE")),_xlpm.clave,B96&amp;"|"&amp;_xlpm.tamano,_xlpm.fila,MATCH(_xlpm.clave,COSTOS_M2!$H$5:$H$67,0),_xlpm.mat_m2,INDEX(IF(F96="HUANACAXTLE",COSTOS_M2!$D$5:$D$67,IF(F96="ENCINO",COSTOS_M2!$E$5:$E$67,COSTOS_M2!$F$5:$F$67)),_xlpm.fila),_xlpm.cons_m2,INDEX(COSTOS_M2!$G$5:$G$67,_xlpm.fila),_xlpm.prof_factor,IF(AND(E96&lt;&gt;"—",E96&lt;&gt;"",ISNUMBER(E96)),POWER(E96/40,1.8),1),_xlpm.total_m2,(_xlpm.mat_m2+_xlpm.cons_m2)*H96*_xlpm.prof_factor*IF(C96&gt;70,COSTOS_M2!$B$70,1)*IF(D96&gt;244,COSTOS_M2!$B$71,1),_xlpm.total_m2)),"")</f>
        <v>452.4</v>
      </c>
      <c r="J96" s="74">
        <f>IFERROR(IF(B96="","",INDEX(MANO_DE_OBRA!$P$10:$P$72,MATCH(B96&amp;"|"&amp;IF(H96&lt;=0.5,"CHICO",IF(H96&lt;=1,"MEDIANO","GRANDE")),MANO_DE_OBRA!$Q$10:$Q$72,0))),"")</f>
        <v>435.19109999999989</v>
      </c>
      <c r="K96" s="342">
        <f>IFERROR(IF(B96="","",_xlfn.LET(_xlpm.clave_prof,B96&amp;"|"&amp;E96,_xlpm.clave_todas,B96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96" s="75">
        <f>IFERROR(IF(B96="","",IF(I96="",0,I96)+IF(J96="",0,J96)+IF(K96="",0,K96)),"")</f>
        <v>887.59109999999987</v>
      </c>
      <c r="M96" s="75">
        <f>IFERROR(IF(L96="","",L96*$D$8),"")</f>
        <v>1109.4888749999998</v>
      </c>
      <c r="N96" s="76">
        <f>IFERROR(IF(M96="","",CEILING(M96,50)),"")</f>
        <v>1150</v>
      </c>
      <c r="O96" s="77">
        <v>0</v>
      </c>
      <c r="P96" s="78">
        <f>IFERROR(IF(G96="","",G96*N96*(1-O96)),"")</f>
        <v>5750</v>
      </c>
      <c r="Q96" s="79"/>
    </row>
    <row r="97" spans="1:17" ht="19.5" customHeight="1" x14ac:dyDescent="0.2">
      <c r="A97" s="72" t="s">
        <v>1640</v>
      </c>
      <c r="B97" s="69" t="s">
        <v>203</v>
      </c>
      <c r="C97" s="69" t="s">
        <v>205</v>
      </c>
      <c r="D97" s="69">
        <v>100</v>
      </c>
      <c r="E97" s="69" t="s">
        <v>97</v>
      </c>
      <c r="F97" s="69" t="s">
        <v>178</v>
      </c>
      <c r="G97" s="69">
        <v>6</v>
      </c>
      <c r="H97" s="73" t="str">
        <f>IFERROR(IF(B97="","",(C97/100)*(D97/100)),"")</f>
        <v/>
      </c>
      <c r="I97" s="74" t="str">
        <f>IFERROR(IF(B97="","",_xlfn.LET(_xlpm.tamano,IF(H97&lt;=0.5,"CHICO",IF(H97&lt;=1,"MEDIANO","GRANDE")),_xlpm.clave,B97&amp;"|"&amp;_xlpm.tamano,_xlpm.fila,MATCH(_xlpm.clave,COSTOS_M2!$H$5:$H$67,0),_xlpm.mat_m2,INDEX(IF(F97="HUANACAXTLE",COSTOS_M2!$D$5:$D$67,IF(F97="ENCINO",COSTOS_M2!$E$5:$E$67,COSTOS_M2!$F$5:$F$67)),_xlpm.fila),_xlpm.cons_m2,INDEX(COSTOS_M2!$G$5:$G$67,_xlpm.fila),_xlpm.prof_factor,IF(AND(E97&lt;&gt;"—",E97&lt;&gt;"",ISNUMBER(E97)),POWER(E97/40,1.8),1),_xlpm.total_m2,(_xlpm.mat_m2+_xlpm.cons_m2)*H97*_xlpm.prof_factor*IF(C97&gt;70,COSTOS_M2!$B$70,1)*IF(D97&gt;244,COSTOS_M2!$B$71,1),_xlpm.total_m2)),"")</f>
        <v/>
      </c>
      <c r="J97" s="74">
        <f>IFERROR(IF(B97="","",INDEX(MANO_DE_OBRA!$P$10:$P$72,MATCH(B97&amp;"|"&amp;IF(H97&lt;=0.5,"CHICO",IF(H97&lt;=1,"MEDIANO","GRANDE")),MANO_DE_OBRA!$Q$10:$Q$72,0))),"")</f>
        <v>25.592999999999996</v>
      </c>
      <c r="K97" s="342">
        <f>IFERROR(IF(B97="","",_xlfn.LET(_xlpm.clave_prof,B97&amp;"|"&amp;E97,_xlpm.clave_todas,B97&amp;"|TODAS",_xlpm.herr_prof,SUMIFS(HERRAJES!$H$5:$H$36,HERRAJES!$J$5:$J$36,_xlpm.clave_prof),_xlpm.herr_todas,SUMIFS(HERRAJES!$H$5:$H$36,HERRAJES!$J$5:$J$36,_xlpm.clave_todas),IF(_xlpm.herr_prof&gt;0,_xlpm.herr_prof,_xlpm.herr_todas))),"")</f>
        <v>2.74</v>
      </c>
      <c r="L97" s="75">
        <f>IFERROR(IF(B97="","",IF(I97="",0,I97)+IF(J97="",0,J97)+IF(K97="",0,K97)),"")</f>
        <v>28.332999999999998</v>
      </c>
      <c r="M97" s="75">
        <f>IFERROR(IF(L97="","",L97*$D$8),"")</f>
        <v>35.416249999999998</v>
      </c>
      <c r="N97" s="76">
        <f>IFERROR(IF(M97="","",CEILING(M97,50)),"")</f>
        <v>50</v>
      </c>
      <c r="O97" s="77">
        <v>0</v>
      </c>
      <c r="P97" s="78">
        <f>IFERROR(IF(G97="","",G97*N97*(1-O97)),"")</f>
        <v>300</v>
      </c>
      <c r="Q97" s="79"/>
    </row>
    <row r="98" spans="1:17" ht="19.5" customHeight="1" x14ac:dyDescent="0.2">
      <c r="A98" s="72" t="s">
        <v>1640</v>
      </c>
      <c r="B98" s="69" t="s">
        <v>1628</v>
      </c>
      <c r="C98" s="69">
        <v>409</v>
      </c>
      <c r="D98" s="69">
        <v>305</v>
      </c>
      <c r="E98" s="69" t="s">
        <v>97</v>
      </c>
      <c r="F98" s="69" t="s">
        <v>178</v>
      </c>
      <c r="G98" s="69">
        <v>1</v>
      </c>
      <c r="H98" s="73">
        <f>IFERROR(IF(B98="","",(C98/100)*(D98/100)),"")</f>
        <v>12.474499999999999</v>
      </c>
      <c r="I98" s="74">
        <f>IFERROR(IF(B98="","",_xlfn.LET(_xlpm.tamano,IF(H98&lt;=0.5,"CHICO",IF(H98&lt;=1,"MEDIANO","GRANDE")),_xlpm.clave,B98&amp;"|"&amp;_xlpm.tamano,_xlpm.fila,MATCH(_xlpm.clave,COSTOS_M2!$H$5:$H$67,0),_xlpm.mat_m2,INDEX(IF(F98="HUANACAXTLE",COSTOS_M2!$D$5:$D$67,IF(F98="ENCINO",COSTOS_M2!$E$5:$E$67,COSTOS_M2!$F$5:$F$67)),_xlpm.fila),_xlpm.cons_m2,INDEX(COSTOS_M2!$G$5:$G$67,_xlpm.fila),_xlpm.prof_factor,IF(AND(E98&lt;&gt;"—",E98&lt;&gt;"",ISNUMBER(E98)),POWER(E98/40,1.8),1),_xlpm.total_m2,(_xlpm.mat_m2+_xlpm.cons_m2)*H98*_xlpm.prof_factor*IF(C98&gt;70,COSTOS_M2!$B$70,1)*IF(D98&gt;244,COSTOS_M2!$B$71,1),_xlpm.total_m2)),"")</f>
        <v>4954.2476749999996</v>
      </c>
      <c r="J98" s="74">
        <f>IFERROR(IF(B98="","",INDEX(MANO_DE_OBRA!$P$10:$P$72,MATCH(B98&amp;"|"&amp;IF(H98&lt;=0.5,"CHICO",IF(H98&lt;=1,"MEDIANO","GRANDE")),MANO_DE_OBRA!$Q$10:$Q$72,0))),"")</f>
        <v>295.7955</v>
      </c>
      <c r="K98" s="342">
        <f>IFERROR(IF(B98="","",_xlfn.LET(_xlpm.clave_prof,B98&amp;"|"&amp;E98,_xlpm.clave_todas,B98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98" s="75">
        <f>IFERROR(IF(B98="","",IF(I98="",0,I98)+IF(J98="",0,J98)+IF(K98="",0,K98)),"")</f>
        <v>5250.0431749999998</v>
      </c>
      <c r="M98" s="75">
        <f>IFERROR(IF(L98="","",L98*$D$8),"")</f>
        <v>6562.5539687499995</v>
      </c>
      <c r="N98" s="76">
        <f>IFERROR(IF(M98="","",CEILING(M98,50)),"")</f>
        <v>6600</v>
      </c>
      <c r="O98" s="77">
        <v>0</v>
      </c>
      <c r="P98" s="78">
        <f>IFERROR(IF(G98="","",G98*N98*(1-O98)),"")</f>
        <v>6600</v>
      </c>
      <c r="Q98" s="79"/>
    </row>
    <row r="99" spans="1:17" ht="19.5" customHeight="1" x14ac:dyDescent="0.2">
      <c r="A99" s="72" t="s">
        <v>1640</v>
      </c>
      <c r="B99" s="69" t="s">
        <v>1626</v>
      </c>
      <c r="C99" s="69">
        <v>5</v>
      </c>
      <c r="D99" s="69">
        <v>820</v>
      </c>
      <c r="E99" s="69" t="s">
        <v>97</v>
      </c>
      <c r="F99" s="69" t="s">
        <v>178</v>
      </c>
      <c r="G99" s="69">
        <v>1</v>
      </c>
      <c r="H99" s="73">
        <f>IFERROR(IF(B99="","",(C99/100)*(D99/100)),"")</f>
        <v>0.41</v>
      </c>
      <c r="I99" s="74">
        <f>IFERROR(IF(B99="","",_xlfn.LET(_xlpm.tamano,IF(H99&lt;=0.5,"CHICO",IF(H99&lt;=1,"MEDIANO","GRANDE")),_xlpm.clave,B99&amp;"|"&amp;_xlpm.tamano,_xlpm.fila,MATCH(_xlpm.clave,COSTOS_M2!$H$5:$H$67,0),_xlpm.mat_m2,INDEX(IF(F99="HUANACAXTLE",COSTOS_M2!$D$5:$D$67,IF(F99="ENCINO",COSTOS_M2!$E$5:$E$67,COSTOS_M2!$F$5:$F$67)),_xlpm.fila),_xlpm.cons_m2,INDEX(COSTOS_M2!$G$5:$G$67,_xlpm.fila),_xlpm.prof_factor,IF(AND(E99&lt;&gt;"—",E99&lt;&gt;"",ISNUMBER(E99)),POWER(E99/40,1.8),1),_xlpm.total_m2,(_xlpm.mat_m2+_xlpm.cons_m2)*H99*_xlpm.prof_factor*IF(C99&gt;70,COSTOS_M2!$B$70,1)*IF(D99&gt;244,COSTOS_M2!$B$71,1),_xlpm.total_m2)),"")</f>
        <v>2744.9500000000003</v>
      </c>
      <c r="J99" s="74">
        <f>IFERROR(IF(B99="","",INDEX(MANO_DE_OBRA!$P$10:$P$72,MATCH(B99&amp;"|"&amp;IF(H99&lt;=0.5,"CHICO",IF(H99&lt;=1,"MEDIANO","GRANDE")),MANO_DE_OBRA!$Q$10:$Q$72,0))),"")</f>
        <v>477.459</v>
      </c>
      <c r="K99" s="342">
        <f>IFERROR(IF(B99="","",_xlfn.LET(_xlpm.clave_prof,B99&amp;"|"&amp;E99,_xlpm.clave_todas,B99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99" s="75">
        <f>IFERROR(IF(B99="","",IF(I99="",0,I99)+IF(J99="",0,J99)+IF(K99="",0,K99)),"")</f>
        <v>3222.4090000000001</v>
      </c>
      <c r="M99" s="75">
        <f>IFERROR(IF(L99="","",L99*$D$8),"")</f>
        <v>4028.01125</v>
      </c>
      <c r="N99" s="76">
        <f>IFERROR(IF(M99="","",CEILING(M99,50)),"")</f>
        <v>4050</v>
      </c>
      <c r="O99" s="77">
        <v>0</v>
      </c>
      <c r="P99" s="78">
        <f>IFERROR(IF(G99="","",G99*N99*(1-O99)),"")</f>
        <v>4050</v>
      </c>
      <c r="Q99" s="79"/>
    </row>
    <row r="100" spans="1:17" ht="19.5" customHeight="1" x14ac:dyDescent="0.2">
      <c r="A100" s="72"/>
      <c r="B100" s="83" t="s">
        <v>1636</v>
      </c>
      <c r="C100" s="424"/>
      <c r="D100" s="424"/>
      <c r="E100" s="424"/>
      <c r="F100" s="424"/>
      <c r="G100" s="424"/>
      <c r="H100" s="425"/>
      <c r="I100" s="426"/>
      <c r="J100" s="426"/>
      <c r="K100" s="427"/>
      <c r="L100" s="428"/>
      <c r="M100" s="428"/>
      <c r="N100" s="429"/>
      <c r="O100" s="430"/>
      <c r="P100" s="431"/>
      <c r="Q100" s="79"/>
    </row>
    <row r="101" spans="1:17" ht="19.5" customHeight="1" x14ac:dyDescent="0.2">
      <c r="A101" s="72" t="s">
        <v>1641</v>
      </c>
      <c r="B101" s="69" t="s">
        <v>195</v>
      </c>
      <c r="C101" s="69">
        <v>55</v>
      </c>
      <c r="D101" s="69">
        <v>200</v>
      </c>
      <c r="E101" s="69" t="s">
        <v>97</v>
      </c>
      <c r="F101" s="69" t="s">
        <v>178</v>
      </c>
      <c r="G101" s="69">
        <v>1</v>
      </c>
      <c r="H101" s="73">
        <f>IFERROR(IF(B101="","",(C101/100)*(D101/100)),"")</f>
        <v>1.1000000000000001</v>
      </c>
      <c r="I101" s="74">
        <f>IFERROR(IF(B101="","",_xlfn.LET(_xlpm.tamano,IF(H101&lt;=0.5,"CHICO",IF(H101&lt;=1,"MEDIANO","GRANDE")),_xlpm.clave,B101&amp;"|"&amp;_xlpm.tamano,_xlpm.fila,MATCH(_xlpm.clave,COSTOS_M2!$H$5:$H$67,0),_xlpm.mat_m2,INDEX(IF(F101="HUANACAXTLE",COSTOS_M2!$D$5:$D$67,IF(F101="ENCINO",COSTOS_M2!$E$5:$E$67,COSTOS_M2!$F$5:$F$67)),_xlpm.fila),_xlpm.cons_m2,INDEX(COSTOS_M2!$G$5:$G$67,_xlpm.fila),_xlpm.prof_factor,IF(AND(E101&lt;&gt;"—",E101&lt;&gt;"",ISNUMBER(E101)),POWER(E101/40,1.8),1),_xlpm.total_m2,(_xlpm.mat_m2+_xlpm.cons_m2)*H101*_xlpm.prof_factor*IF(C101&gt;70,COSTOS_M2!$B$70,1)*IF(D101&gt;244,COSTOS_M2!$B$71,1),_xlpm.total_m2)),"")</f>
        <v>740.30000000000007</v>
      </c>
      <c r="J101" s="74">
        <f>IFERROR(IF(B101="","",INDEX(MANO_DE_OBRA!$P$10:$P$72,MATCH(B101&amp;"|"&amp;IF(H101&lt;=0.5,"CHICO",IF(H101&lt;=1,"MEDIANO","GRANDE")),MANO_DE_OBRA!$Q$10:$Q$72,0))),"")</f>
        <v>614.34549000000015</v>
      </c>
      <c r="K101" s="342">
        <f>IFERROR(IF(B101="","",_xlfn.LET(_xlpm.clave_prof,B101&amp;"|"&amp;E101,_xlpm.clave_todas,B101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01" s="75">
        <f>IFERROR(IF(B101="","",IF(I101="",0,I101)+IF(J101="",0,J101)+IF(K101="",0,K101)),"")</f>
        <v>1354.6454900000003</v>
      </c>
      <c r="M101" s="75">
        <f>IFERROR(IF(L101="","",L101*$D$8),"")</f>
        <v>1693.3068625000005</v>
      </c>
      <c r="N101" s="76">
        <f>IFERROR(IF(M101="","",CEILING(M101,50)),"")</f>
        <v>1700</v>
      </c>
      <c r="O101" s="77">
        <v>0</v>
      </c>
      <c r="P101" s="78">
        <f>IFERROR(IF(G101="","",G101*N101*(1-O101)),"")</f>
        <v>1700</v>
      </c>
      <c r="Q101" s="79"/>
    </row>
    <row r="102" spans="1:17" ht="19.5" customHeight="1" x14ac:dyDescent="0.2">
      <c r="A102" s="72" t="s">
        <v>1641</v>
      </c>
      <c r="B102" s="69" t="s">
        <v>195</v>
      </c>
      <c r="C102" s="69">
        <v>55</v>
      </c>
      <c r="D102" s="69">
        <v>106</v>
      </c>
      <c r="E102" s="69" t="s">
        <v>97</v>
      </c>
      <c r="F102" s="69" t="s">
        <v>178</v>
      </c>
      <c r="G102" s="69">
        <v>1</v>
      </c>
      <c r="H102" s="73">
        <f>IFERROR(IF(B102="","",(C102/100)*(D102/100)),"")</f>
        <v>0.58300000000000007</v>
      </c>
      <c r="I102" s="74">
        <f>IFERROR(IF(B102="","",_xlfn.LET(_xlpm.tamano,IF(H102&lt;=0.5,"CHICO",IF(H102&lt;=1,"MEDIANO","GRANDE")),_xlpm.clave,B102&amp;"|"&amp;_xlpm.tamano,_xlpm.fila,MATCH(_xlpm.clave,COSTOS_M2!$H$5:$H$67,0),_xlpm.mat_m2,INDEX(IF(F102="HUANACAXTLE",COSTOS_M2!$D$5:$D$67,IF(F102="ENCINO",COSTOS_M2!$E$5:$E$67,COSTOS_M2!$F$5:$F$67)),_xlpm.fila),_xlpm.cons_m2,INDEX(COSTOS_M2!$G$5:$G$67,_xlpm.fila),_xlpm.prof_factor,IF(AND(E102&lt;&gt;"—",E102&lt;&gt;"",ISNUMBER(E102)),POWER(E102/40,1.8),1),_xlpm.total_m2,(_xlpm.mat_m2+_xlpm.cons_m2)*H102*_xlpm.prof_factor*IF(C102&gt;70,COSTOS_M2!$B$70,1)*IF(D102&gt;244,COSTOS_M2!$B$71,1),_xlpm.total_m2)),"")</f>
        <v>409.26600000000008</v>
      </c>
      <c r="J102" s="74">
        <f>IFERROR(IF(B102="","",INDEX(MANO_DE_OBRA!$P$10:$P$72,MATCH(B102&amp;"|"&amp;IF(H102&lt;=0.5,"CHICO",IF(H102&lt;=1,"MEDIANO","GRANDE")),MANO_DE_OBRA!$Q$10:$Q$72,0))),"")</f>
        <v>469.28723999999994</v>
      </c>
      <c r="K102" s="342">
        <f>IFERROR(IF(B102="","",_xlfn.LET(_xlpm.clave_prof,B102&amp;"|"&amp;E102,_xlpm.clave_todas,B102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02" s="75">
        <f>IFERROR(IF(B102="","",IF(I102="",0,I102)+IF(J102="",0,J102)+IF(K102="",0,K102)),"")</f>
        <v>878.55323999999996</v>
      </c>
      <c r="M102" s="75">
        <f>IFERROR(IF(L102="","",L102*$D$8),"")</f>
        <v>1098.19155</v>
      </c>
      <c r="N102" s="76">
        <f>IFERROR(IF(M102="","",CEILING(M102,50)),"")</f>
        <v>1100</v>
      </c>
      <c r="O102" s="77">
        <v>0</v>
      </c>
      <c r="P102" s="78">
        <f>IFERROR(IF(G102="","",G102*N102*(1-O102)),"")</f>
        <v>1100</v>
      </c>
      <c r="Q102" s="79"/>
    </row>
    <row r="103" spans="1:17" ht="19.5" customHeight="1" x14ac:dyDescent="0.2">
      <c r="A103" s="72" t="s">
        <v>1641</v>
      </c>
      <c r="B103" s="69" t="s">
        <v>196</v>
      </c>
      <c r="C103" s="69">
        <v>55</v>
      </c>
      <c r="D103" s="69">
        <v>200</v>
      </c>
      <c r="E103" s="69" t="s">
        <v>97</v>
      </c>
      <c r="F103" s="69" t="s">
        <v>178</v>
      </c>
      <c r="G103" s="69">
        <v>1</v>
      </c>
      <c r="H103" s="73">
        <f>IFERROR(IF(B103="","",(C103/100)*(D103/100)),"")</f>
        <v>1.1000000000000001</v>
      </c>
      <c r="I103" s="74">
        <f>IFERROR(IF(B103="","",_xlfn.LET(_xlpm.tamano,IF(H103&lt;=0.5,"CHICO",IF(H103&lt;=1,"MEDIANO","GRANDE")),_xlpm.clave,B103&amp;"|"&amp;_xlpm.tamano,_xlpm.fila,MATCH(_xlpm.clave,COSTOS_M2!$H$5:$H$67,0),_xlpm.mat_m2,INDEX(IF(F103="HUANACAXTLE",COSTOS_M2!$D$5:$D$67,IF(F103="ENCINO",COSTOS_M2!$E$5:$E$67,COSTOS_M2!$F$5:$F$67)),_xlpm.fila),_xlpm.cons_m2,INDEX(COSTOS_M2!$G$5:$G$67,_xlpm.fila),_xlpm.prof_factor,IF(AND(E103&lt;&gt;"—",E103&lt;&gt;"",ISNUMBER(E103)),POWER(E103/40,1.8),1),_xlpm.total_m2,(_xlpm.mat_m2+_xlpm.cons_m2)*H103*_xlpm.prof_factor*IF(C103&gt;70,COSTOS_M2!$B$70,1)*IF(D103&gt;244,COSTOS_M2!$B$71,1),_xlpm.total_m2)),"")</f>
        <v>888.80000000000007</v>
      </c>
      <c r="J103" s="74">
        <f>IFERROR(IF(B103="","",INDEX(MANO_DE_OBRA!$P$10:$P$72,MATCH(B103&amp;"|"&amp;IF(H103&lt;=0.5,"CHICO",IF(H103&lt;=1,"MEDIANO","GRANDE")),MANO_DE_OBRA!$Q$10:$Q$72,0))),"")</f>
        <v>762.95904000000007</v>
      </c>
      <c r="K103" s="342">
        <f>IFERROR(IF(B103="","",_xlfn.LET(_xlpm.clave_prof,B103&amp;"|"&amp;E103,_xlpm.clave_todas,B103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03" s="75">
        <f>IFERROR(IF(B103="","",IF(I103="",0,I103)+IF(J103="",0,J103)+IF(K103="",0,K103)),"")</f>
        <v>1651.7590400000001</v>
      </c>
      <c r="M103" s="75">
        <f>IFERROR(IF(L103="","",L103*$D$8),"")</f>
        <v>2064.6988000000001</v>
      </c>
      <c r="N103" s="76">
        <f>IFERROR(IF(M103="","",CEILING(M103,50)),"")</f>
        <v>2100</v>
      </c>
      <c r="O103" s="77">
        <v>0</v>
      </c>
      <c r="P103" s="78">
        <f>IFERROR(IF(G103="","",G103*N103*(1-O103)),"")</f>
        <v>2100</v>
      </c>
      <c r="Q103" s="79"/>
    </row>
    <row r="104" spans="1:17" ht="19.5" customHeight="1" x14ac:dyDescent="0.2">
      <c r="A104" s="72" t="s">
        <v>1641</v>
      </c>
      <c r="B104" s="69" t="s">
        <v>196</v>
      </c>
      <c r="C104" s="69">
        <v>55</v>
      </c>
      <c r="D104" s="69">
        <v>106</v>
      </c>
      <c r="E104" s="69" t="s">
        <v>97</v>
      </c>
      <c r="F104" s="69" t="s">
        <v>178</v>
      </c>
      <c r="G104" s="69">
        <v>1</v>
      </c>
      <c r="H104" s="73">
        <f>IFERROR(IF(B104="","",(C104/100)*(D104/100)),"")</f>
        <v>0.58300000000000007</v>
      </c>
      <c r="I104" s="74">
        <f>IFERROR(IF(B104="","",_xlfn.LET(_xlpm.tamano,IF(H104&lt;=0.5,"CHICO",IF(H104&lt;=1,"MEDIANO","GRANDE")),_xlpm.clave,B104&amp;"|"&amp;_xlpm.tamano,_xlpm.fila,MATCH(_xlpm.clave,COSTOS_M2!$H$5:$H$67,0),_xlpm.mat_m2,INDEX(IF(F104="HUANACAXTLE",COSTOS_M2!$D$5:$D$67,IF(F104="ENCINO",COSTOS_M2!$E$5:$E$67,COSTOS_M2!$F$5:$F$67)),_xlpm.fila),_xlpm.cons_m2,INDEX(COSTOS_M2!$G$5:$G$67,_xlpm.fila),_xlpm.prof_factor,IF(AND(E104&lt;&gt;"—",E104&lt;&gt;"",ISNUMBER(E104)),POWER(E104/40,1.8),1),_xlpm.total_m2,(_xlpm.mat_m2+_xlpm.cons_m2)*H104*_xlpm.prof_factor*IF(C104&gt;70,COSTOS_M2!$B$70,1)*IF(D104&gt;244,COSTOS_M2!$B$71,1),_xlpm.total_m2)),"")</f>
        <v>487.38800000000003</v>
      </c>
      <c r="J104" s="74">
        <f>IFERROR(IF(B104="","",INDEX(MANO_DE_OBRA!$P$10:$P$72,MATCH(B104&amp;"|"&amp;IF(H104&lt;=0.5,"CHICO",IF(H104&lt;=1,"MEDIANO","GRANDE")),MANO_DE_OBRA!$Q$10:$Q$72,0))),"")</f>
        <v>520.05040499999996</v>
      </c>
      <c r="K104" s="342">
        <f>IFERROR(IF(B104="","",_xlfn.LET(_xlpm.clave_prof,B104&amp;"|"&amp;E104,_xlpm.clave_todas,B104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04" s="75">
        <f>IFERROR(IF(B104="","",IF(I104="",0,I104)+IF(J104="",0,J104)+IF(K104="",0,K104)),"")</f>
        <v>1007.438405</v>
      </c>
      <c r="M104" s="75">
        <f>IFERROR(IF(L104="","",L104*$D$8),"")</f>
        <v>1259.2980062500001</v>
      </c>
      <c r="N104" s="76">
        <f>IFERROR(IF(M104="","",CEILING(M104,50)),"")</f>
        <v>1300</v>
      </c>
      <c r="O104" s="77">
        <v>0</v>
      </c>
      <c r="P104" s="78">
        <f>IFERROR(IF(G104="","",G104*N104*(1-O104)),"")</f>
        <v>1300</v>
      </c>
      <c r="Q104" s="79"/>
    </row>
    <row r="105" spans="1:17" ht="19.5" customHeight="1" x14ac:dyDescent="0.2">
      <c r="A105" s="72" t="s">
        <v>1641</v>
      </c>
      <c r="B105" s="69" t="s">
        <v>193</v>
      </c>
      <c r="C105" s="69">
        <v>55</v>
      </c>
      <c r="D105" s="69">
        <v>240</v>
      </c>
      <c r="E105" s="69" t="s">
        <v>97</v>
      </c>
      <c r="F105" s="69" t="s">
        <v>178</v>
      </c>
      <c r="G105" s="69">
        <v>4</v>
      </c>
      <c r="H105" s="73">
        <f>IFERROR(IF(B105="","",(C105/100)*(D105/100)),"")</f>
        <v>1.32</v>
      </c>
      <c r="I105" s="74">
        <f>IFERROR(IF(B105="","",_xlfn.LET(_xlpm.tamano,IF(H105&lt;=0.5,"CHICO",IF(H105&lt;=1,"MEDIANO","GRANDE")),_xlpm.clave,B105&amp;"|"&amp;_xlpm.tamano,_xlpm.fila,MATCH(_xlpm.clave,COSTOS_M2!$H$5:$H$67,0),_xlpm.mat_m2,INDEX(IF(F105="HUANACAXTLE",COSTOS_M2!$D$5:$D$67,IF(F105="ENCINO",COSTOS_M2!$E$5:$E$67,COSTOS_M2!$F$5:$F$67)),_xlpm.fila),_xlpm.cons_m2,INDEX(COSTOS_M2!$G$5:$G$67,_xlpm.fila),_xlpm.prof_factor,IF(AND(E105&lt;&gt;"—",E105&lt;&gt;"",ISNUMBER(E105)),POWER(E105/40,1.8),1),_xlpm.total_m2,(_xlpm.mat_m2+_xlpm.cons_m2)*H105*_xlpm.prof_factor*IF(C105&gt;70,COSTOS_M2!$B$70,1)*IF(D105&gt;244,COSTOS_M2!$B$71,1),_xlpm.total_m2)),"")</f>
        <v>1495.5600000000002</v>
      </c>
      <c r="J105" s="74">
        <f>IFERROR(IF(B105="","",INDEX(MANO_DE_OBRA!$P$10:$P$72,MATCH(B105&amp;"|"&amp;IF(H105&lt;=0.5,"CHICO",IF(H105&lt;=1,"MEDIANO","GRANDE")),MANO_DE_OBRA!$Q$10:$Q$72,0))),"")</f>
        <v>751.15698000000009</v>
      </c>
      <c r="K105" s="342">
        <f>IFERROR(IF(B105="","",_xlfn.LET(_xlpm.clave_prof,B105&amp;"|"&amp;E105,_xlpm.clave_todas,B105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05" s="75">
        <f>IFERROR(IF(B105="","",IF(I105="",0,I105)+IF(J105="",0,J105)+IF(K105="",0,K105)),"")</f>
        <v>2246.7169800000001</v>
      </c>
      <c r="M105" s="75">
        <f>IFERROR(IF(L105="","",L105*$D$8),"")</f>
        <v>2808.3962250000004</v>
      </c>
      <c r="N105" s="76">
        <f>IFERROR(IF(M105="","",CEILING(M105,50)),"")</f>
        <v>2850</v>
      </c>
      <c r="O105" s="77">
        <v>0</v>
      </c>
      <c r="P105" s="78">
        <f>IFERROR(IF(G105="","",G105*N105*(1-O105)),"")</f>
        <v>11400</v>
      </c>
      <c r="Q105" s="79"/>
    </row>
    <row r="106" spans="1:17" ht="19.5" customHeight="1" x14ac:dyDescent="0.2">
      <c r="A106" s="72" t="s">
        <v>1641</v>
      </c>
      <c r="B106" s="69" t="s">
        <v>1623</v>
      </c>
      <c r="C106" s="69">
        <v>55</v>
      </c>
      <c r="D106" s="69">
        <v>95</v>
      </c>
      <c r="E106" s="69" t="s">
        <v>97</v>
      </c>
      <c r="F106" s="69" t="s">
        <v>178</v>
      </c>
      <c r="G106" s="69">
        <v>3</v>
      </c>
      <c r="H106" s="73">
        <f>IFERROR(IF(B106="","",(C106/100)*(D106/100)),"")</f>
        <v>0.52249999999999996</v>
      </c>
      <c r="I106" s="74">
        <f>IFERROR(IF(B106="","",_xlfn.LET(_xlpm.tamano,IF(H106&lt;=0.5,"CHICO",IF(H106&lt;=1,"MEDIANO","GRANDE")),_xlpm.clave,B106&amp;"|"&amp;_xlpm.tamano,_xlpm.fila,MATCH(_xlpm.clave,COSTOS_M2!$H$5:$H$67,0),_xlpm.mat_m2,INDEX(IF(F106="HUANACAXTLE",COSTOS_M2!$D$5:$D$67,IF(F106="ENCINO",COSTOS_M2!$E$5:$E$67,COSTOS_M2!$F$5:$F$67)),_xlpm.fila),_xlpm.cons_m2,INDEX(COSTOS_M2!$G$5:$G$67,_xlpm.fila),_xlpm.prof_factor,IF(AND(E106&lt;&gt;"—",E106&lt;&gt;"",ISNUMBER(E106)),POWER(E106/40,1.8),1),_xlpm.total_m2,(_xlpm.mat_m2+_xlpm.cons_m2)*H106*_xlpm.prof_factor*IF(C106&gt;70,COSTOS_M2!$B$70,1)*IF(D106&gt;244,COSTOS_M2!$B$71,1),_xlpm.total_m2)),"")</f>
        <v>410.16249999999997</v>
      </c>
      <c r="J106" s="74">
        <f>IFERROR(IF(B106="","",INDEX(MANO_DE_OBRA!$P$10:$P$72,MATCH(B106&amp;"|"&amp;IF(H106&lt;=0.5,"CHICO",IF(H106&lt;=1,"MEDIANO","GRANDE")),MANO_DE_OBRA!$Q$10:$Q$72,0))),"")</f>
        <v>400.55880000000002</v>
      </c>
      <c r="K106" s="342">
        <f>IFERROR(IF(B106="","",_xlfn.LET(_xlpm.clave_prof,B106&amp;"|"&amp;E106,_xlpm.clave_todas,B106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06" s="75">
        <f>IFERROR(IF(B106="","",IF(I106="",0,I106)+IF(J106="",0,J106)+IF(K106="",0,K106)),"")</f>
        <v>810.72129999999993</v>
      </c>
      <c r="M106" s="75">
        <f>IFERROR(IF(L106="","",L106*$D$8),"")</f>
        <v>1013.401625</v>
      </c>
      <c r="N106" s="76">
        <f>IFERROR(IF(M106="","",CEILING(M106,50)),"")</f>
        <v>1050</v>
      </c>
      <c r="O106" s="77">
        <v>0</v>
      </c>
      <c r="P106" s="78">
        <f>IFERROR(IF(G106="","",G106*N106*(1-O106)),"")</f>
        <v>3150</v>
      </c>
      <c r="Q106" s="79"/>
    </row>
    <row r="107" spans="1:17" ht="19.5" customHeight="1" x14ac:dyDescent="0.2">
      <c r="A107" s="72" t="s">
        <v>1641</v>
      </c>
      <c r="B107" s="69" t="s">
        <v>203</v>
      </c>
      <c r="C107" s="69" t="s">
        <v>205</v>
      </c>
      <c r="D107" s="69">
        <v>95</v>
      </c>
      <c r="E107" s="69" t="s">
        <v>97</v>
      </c>
      <c r="F107" s="69" t="s">
        <v>178</v>
      </c>
      <c r="G107" s="69">
        <v>6</v>
      </c>
      <c r="H107" s="73" t="str">
        <f>IFERROR(IF(B107="","",(C107/100)*(D107/100)),"")</f>
        <v/>
      </c>
      <c r="I107" s="74" t="str">
        <f>IFERROR(IF(B107="","",_xlfn.LET(_xlpm.tamano,IF(H107&lt;=0.5,"CHICO",IF(H107&lt;=1,"MEDIANO","GRANDE")),_xlpm.clave,B107&amp;"|"&amp;_xlpm.tamano,_xlpm.fila,MATCH(_xlpm.clave,COSTOS_M2!$H$5:$H$67,0),_xlpm.mat_m2,INDEX(IF(F107="HUANACAXTLE",COSTOS_M2!$D$5:$D$67,IF(F107="ENCINO",COSTOS_M2!$E$5:$E$67,COSTOS_M2!$F$5:$F$67)),_xlpm.fila),_xlpm.cons_m2,INDEX(COSTOS_M2!$G$5:$G$67,_xlpm.fila),_xlpm.prof_factor,IF(AND(E107&lt;&gt;"—",E107&lt;&gt;"",ISNUMBER(E107)),POWER(E107/40,1.8),1),_xlpm.total_m2,(_xlpm.mat_m2+_xlpm.cons_m2)*H107*_xlpm.prof_factor*IF(C107&gt;70,COSTOS_M2!$B$70,1)*IF(D107&gt;244,COSTOS_M2!$B$71,1),_xlpm.total_m2)),"")</f>
        <v/>
      </c>
      <c r="J107" s="74">
        <f>IFERROR(IF(B107="","",INDEX(MANO_DE_OBRA!$P$10:$P$72,MATCH(B107&amp;"|"&amp;IF(H107&lt;=0.5,"CHICO",IF(H107&lt;=1,"MEDIANO","GRANDE")),MANO_DE_OBRA!$Q$10:$Q$72,0))),"")</f>
        <v>25.592999999999996</v>
      </c>
      <c r="K107" s="342">
        <f>IFERROR(IF(B107="","",_xlfn.LET(_xlpm.clave_prof,B107&amp;"|"&amp;E107,_xlpm.clave_todas,B107&amp;"|TODAS",_xlpm.herr_prof,SUMIFS(HERRAJES!$H$5:$H$36,HERRAJES!$J$5:$J$36,_xlpm.clave_prof),_xlpm.herr_todas,SUMIFS(HERRAJES!$H$5:$H$36,HERRAJES!$J$5:$J$36,_xlpm.clave_todas),IF(_xlpm.herr_prof&gt;0,_xlpm.herr_prof,_xlpm.herr_todas))),"")</f>
        <v>2.74</v>
      </c>
      <c r="L107" s="75">
        <f>IFERROR(IF(B107="","",IF(I107="",0,I107)+IF(J107="",0,J107)+IF(K107="",0,K107)),"")</f>
        <v>28.332999999999998</v>
      </c>
      <c r="M107" s="75">
        <f>IFERROR(IF(L107="","",L107*$D$8),"")</f>
        <v>35.416249999999998</v>
      </c>
      <c r="N107" s="76">
        <f>IFERROR(IF(M107="","",CEILING(M107,50)),"")</f>
        <v>50</v>
      </c>
      <c r="O107" s="77">
        <v>0</v>
      </c>
      <c r="P107" s="78">
        <f>IFERROR(IF(G107="","",G107*N107*(1-O107)),"")</f>
        <v>300</v>
      </c>
      <c r="Q107" s="79"/>
    </row>
    <row r="108" spans="1:17" ht="19.5" customHeight="1" x14ac:dyDescent="0.2">
      <c r="A108" s="72" t="s">
        <v>1641</v>
      </c>
      <c r="B108" s="69" t="s">
        <v>200</v>
      </c>
      <c r="C108" s="69">
        <v>50</v>
      </c>
      <c r="D108" s="69">
        <v>230</v>
      </c>
      <c r="E108" s="69" t="s">
        <v>97</v>
      </c>
      <c r="F108" s="69" t="s">
        <v>178</v>
      </c>
      <c r="G108" s="69">
        <v>6</v>
      </c>
      <c r="H108" s="73">
        <f>IFERROR(IF(B108="","",(C108/100)*(D108/100)),"")</f>
        <v>1.1499999999999999</v>
      </c>
      <c r="I108" s="74">
        <f>IFERROR(IF(B108="","",_xlfn.LET(_xlpm.tamano,IF(H108&lt;=0.5,"CHICO",IF(H108&lt;=1,"MEDIANO","GRANDE")),_xlpm.clave,B108&amp;"|"&amp;_xlpm.tamano,_xlpm.fila,MATCH(_xlpm.clave,COSTOS_M2!$H$5:$H$67,0),_xlpm.mat_m2,INDEX(IF(F108="HUANACAXTLE",COSTOS_M2!$D$5:$D$67,IF(F108="ENCINO",COSTOS_M2!$E$5:$E$67,COSTOS_M2!$F$5:$F$67)),_xlpm.fila),_xlpm.cons_m2,INDEX(COSTOS_M2!$G$5:$G$67,_xlpm.fila),_xlpm.prof_factor,IF(AND(E108&lt;&gt;"—",E108&lt;&gt;"",ISNUMBER(E108)),POWER(E108/40,1.8),1),_xlpm.total_m2,(_xlpm.mat_m2+_xlpm.cons_m2)*H108*_xlpm.prof_factor*IF(C108&gt;70,COSTOS_M2!$B$70,1)*IF(D108&gt;244,COSTOS_M2!$B$71,1),_xlpm.total_m2)),"")</f>
        <v>925.74999999999989</v>
      </c>
      <c r="J108" s="74">
        <f>IFERROR(IF(B108="","",INDEX(MANO_DE_OBRA!$P$10:$P$72,MATCH(B108&amp;"|"&amp;IF(H108&lt;=0.5,"CHICO",IF(H108&lt;=1,"MEDIANO","GRANDE")),MANO_DE_OBRA!$Q$10:$Q$72,0))),"")</f>
        <v>810.61836000000005</v>
      </c>
      <c r="K108" s="342">
        <f>IFERROR(IF(B108="","",_xlfn.LET(_xlpm.clave_prof,B108&amp;"|"&amp;E108,_xlpm.clave_todas,B108&amp;"|TODAS",_xlpm.herr_prof,SUMIFS(HERRAJES!$H$5:$H$36,HERRAJES!$J$5:$J$36,_xlpm.clave_prof),_xlpm.herr_todas,SUMIFS(HERRAJES!$H$5:$H$36,HERRAJES!$J$5:$J$36,_xlpm.clave_todas),IF(_xlpm.herr_prof&gt;0,_xlpm.herr_prof,_xlpm.herr_todas))),"")</f>
        <v>311.39999999999998</v>
      </c>
      <c r="L108" s="75">
        <f>IFERROR(IF(B108="","",IF(I108="",0,I108)+IF(J108="",0,J108)+IF(K108="",0,K108)),"")</f>
        <v>2047.76836</v>
      </c>
      <c r="M108" s="75">
        <f>IFERROR(IF(L108="","",L108*$D$8),"")</f>
        <v>2559.71045</v>
      </c>
      <c r="N108" s="76">
        <f>IFERROR(IF(M108="","",CEILING(M108,50)),"")</f>
        <v>2600</v>
      </c>
      <c r="O108" s="77">
        <v>0</v>
      </c>
      <c r="P108" s="78">
        <f>IFERROR(IF(G108="","",G108*N108*(1-O108)),"")</f>
        <v>15600</v>
      </c>
      <c r="Q108" s="79"/>
    </row>
    <row r="109" spans="1:17" ht="19.5" customHeight="1" x14ac:dyDescent="0.2">
      <c r="A109" s="72" t="s">
        <v>1641</v>
      </c>
      <c r="B109" s="69" t="s">
        <v>1624</v>
      </c>
      <c r="C109" s="69">
        <v>5</v>
      </c>
      <c r="D109" s="69">
        <v>3700</v>
      </c>
      <c r="E109" s="69" t="s">
        <v>97</v>
      </c>
      <c r="F109" s="69" t="s">
        <v>178</v>
      </c>
      <c r="G109" s="69">
        <v>1</v>
      </c>
      <c r="H109" s="73">
        <f>IFERROR(IF(B109="","",(C109/100)*(D109/100)),"")</f>
        <v>1.85</v>
      </c>
      <c r="I109" s="74">
        <f>IFERROR(IF(B109="","",_xlfn.LET(_xlpm.tamano,IF(H109&lt;=0.5,"CHICO",IF(H109&lt;=1,"MEDIANO","GRANDE")),_xlpm.clave,B109&amp;"|"&amp;_xlpm.tamano,_xlpm.fila,MATCH(_xlpm.clave,COSTOS_M2!$H$5:$H$67,0),_xlpm.mat_m2,INDEX(IF(F109="HUANACAXTLE",COSTOS_M2!$D$5:$D$67,IF(F109="ENCINO",COSTOS_M2!$E$5:$E$67,COSTOS_M2!$F$5:$F$67)),_xlpm.fila),_xlpm.cons_m2,INDEX(COSTOS_M2!$G$5:$G$67,_xlpm.fila),_xlpm.prof_factor,IF(AND(E109&lt;&gt;"—",E109&lt;&gt;"",ISNUMBER(E109)),POWER(E109/40,1.8),1),_xlpm.total_m2,(_xlpm.mat_m2+_xlpm.cons_m2)*H109*_xlpm.prof_factor*IF(C109&gt;70,COSTOS_M2!$B$70,1)*IF(D109&gt;244,COSTOS_M2!$B$71,1),_xlpm.total_m2)),"")</f>
        <v>11255.4</v>
      </c>
      <c r="J109" s="74">
        <f>IFERROR(IF(B109="","",INDEX(MANO_DE_OBRA!$P$10:$P$72,MATCH(B109&amp;"|"&amp;IF(H109&lt;=0.5,"CHICO",IF(H109&lt;=1,"MEDIANO","GRANDE")),MANO_DE_OBRA!$Q$10:$Q$72,0))),"")</f>
        <v>497.02049999999997</v>
      </c>
      <c r="K109" s="342">
        <f>IFERROR(IF(B109="","",_xlfn.LET(_xlpm.clave_prof,B109&amp;"|"&amp;E109,_xlpm.clave_todas,B109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09" s="75">
        <f>IFERROR(IF(B109="","",IF(I109="",0,I109)+IF(J109="",0,J109)+IF(K109="",0,K109)),"")</f>
        <v>11752.4205</v>
      </c>
      <c r="M109" s="75">
        <f>IFERROR(IF(L109="","",L109*$D$8),"")</f>
        <v>14690.525625</v>
      </c>
      <c r="N109" s="76">
        <f>IFERROR(IF(M109="","",CEILING(M109,50)),"")</f>
        <v>14700</v>
      </c>
      <c r="O109" s="77">
        <v>0</v>
      </c>
      <c r="P109" s="78">
        <f>IFERROR(IF(G109="","",G109*N109*(1-O109)),"")</f>
        <v>14700</v>
      </c>
      <c r="Q109" s="79"/>
    </row>
    <row r="110" spans="1:17" ht="19.5" customHeight="1" x14ac:dyDescent="0.2">
      <c r="A110" s="72" t="s">
        <v>1641</v>
      </c>
      <c r="B110" s="69" t="s">
        <v>708</v>
      </c>
      <c r="C110" s="69">
        <v>40</v>
      </c>
      <c r="D110" s="69">
        <v>95</v>
      </c>
      <c r="E110" s="69" t="s">
        <v>97</v>
      </c>
      <c r="F110" s="69" t="s">
        <v>178</v>
      </c>
      <c r="G110" s="69">
        <v>6</v>
      </c>
      <c r="H110" s="73">
        <f>IFERROR(IF(B110="","",(C110/100)*(D110/100)),"")</f>
        <v>0.38</v>
      </c>
      <c r="I110" s="74">
        <f>IFERROR(IF(B110="","",_xlfn.LET(_xlpm.tamano,IF(H110&lt;=0.5,"CHICO",IF(H110&lt;=1,"MEDIANO","GRANDE")),_xlpm.clave,B110&amp;"|"&amp;_xlpm.tamano,_xlpm.fila,MATCH(_xlpm.clave,COSTOS_M2!$H$5:$H$67,0),_xlpm.mat_m2,INDEX(IF(F110="HUANACAXTLE",COSTOS_M2!$D$5:$D$67,IF(F110="ENCINO",COSTOS_M2!$E$5:$E$67,COSTOS_M2!$F$5:$F$67)),_xlpm.fila),_xlpm.cons_m2,INDEX(COSTOS_M2!$G$5:$G$67,_xlpm.fila),_xlpm.prof_factor,IF(AND(E110&lt;&gt;"—",E110&lt;&gt;"",ISNUMBER(E110)),POWER(E110/40,1.8),1),_xlpm.total_m2,(_xlpm.mat_m2+_xlpm.cons_m2)*H110*_xlpm.prof_factor*IF(C110&gt;70,COSTOS_M2!$B$70,1)*IF(D110&gt;244,COSTOS_M2!$B$71,1),_xlpm.total_m2)),"")</f>
        <v>197.6</v>
      </c>
      <c r="J110" s="74">
        <f>IFERROR(IF(B110="","",INDEX(MANO_DE_OBRA!$P$10:$P$72,MATCH(B110&amp;"|"&amp;IF(H110&lt;=0.5,"CHICO",IF(H110&lt;=1,"MEDIANO","GRANDE")),MANO_DE_OBRA!$Q$10:$Q$72,0))),"")</f>
        <v>94.289999999999992</v>
      </c>
      <c r="K110" s="342">
        <f>IFERROR(IF(B110="","",_xlfn.LET(_xlpm.clave_prof,B110&amp;"|"&amp;E110,_xlpm.clave_todas,B110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10" s="75">
        <f>IFERROR(IF(B110="","",IF(I110="",0,I110)+IF(J110="",0,J110)+IF(K110="",0,K110)),"")</f>
        <v>291.89</v>
      </c>
      <c r="M110" s="75">
        <f>IFERROR(IF(L110="","",L110*$D$8),"")</f>
        <v>364.86249999999995</v>
      </c>
      <c r="N110" s="76">
        <f>IFERROR(IF(M110="","",CEILING(M110,50)),"")</f>
        <v>400</v>
      </c>
      <c r="O110" s="77">
        <v>0</v>
      </c>
      <c r="P110" s="78">
        <f>IFERROR(IF(G110="","",G110*N110*(1-O110)),"")</f>
        <v>2400</v>
      </c>
      <c r="Q110" s="79"/>
    </row>
    <row r="111" spans="1:17" ht="19.5" customHeight="1" x14ac:dyDescent="0.2">
      <c r="A111" s="72" t="s">
        <v>1641</v>
      </c>
      <c r="B111" s="69" t="s">
        <v>708</v>
      </c>
      <c r="C111" s="69">
        <v>40</v>
      </c>
      <c r="D111" s="69">
        <v>25</v>
      </c>
      <c r="E111" s="69" t="s">
        <v>97</v>
      </c>
      <c r="F111" s="69" t="s">
        <v>178</v>
      </c>
      <c r="G111" s="69">
        <v>6</v>
      </c>
      <c r="H111" s="73">
        <f>IFERROR(IF(B111="","",(C111/100)*(D111/100)),"")</f>
        <v>0.1</v>
      </c>
      <c r="I111" s="74">
        <f>IFERROR(IF(B111="","",_xlfn.LET(_xlpm.tamano,IF(H111&lt;=0.5,"CHICO",IF(H111&lt;=1,"MEDIANO","GRANDE")),_xlpm.clave,B111&amp;"|"&amp;_xlpm.tamano,_xlpm.fila,MATCH(_xlpm.clave,COSTOS_M2!$H$5:$H$67,0),_xlpm.mat_m2,INDEX(IF(F111="HUANACAXTLE",COSTOS_M2!$D$5:$D$67,IF(F111="ENCINO",COSTOS_M2!$E$5:$E$67,COSTOS_M2!$F$5:$F$67)),_xlpm.fila),_xlpm.cons_m2,INDEX(COSTOS_M2!$G$5:$G$67,_xlpm.fila),_xlpm.prof_factor,IF(AND(E111&lt;&gt;"—",E111&lt;&gt;"",ISNUMBER(E111)),POWER(E111/40,1.8),1),_xlpm.total_m2,(_xlpm.mat_m2+_xlpm.cons_m2)*H111*_xlpm.prof_factor*IF(C111&gt;70,COSTOS_M2!$B$70,1)*IF(D111&gt;244,COSTOS_M2!$B$71,1),_xlpm.total_m2)),"")</f>
        <v>52</v>
      </c>
      <c r="J111" s="74">
        <f>IFERROR(IF(B111="","",INDEX(MANO_DE_OBRA!$P$10:$P$72,MATCH(B111&amp;"|"&amp;IF(H111&lt;=0.5,"CHICO",IF(H111&lt;=1,"MEDIANO","GRANDE")),MANO_DE_OBRA!$Q$10:$Q$72,0))),"")</f>
        <v>94.289999999999992</v>
      </c>
      <c r="K111" s="342">
        <f>IFERROR(IF(B111="","",_xlfn.LET(_xlpm.clave_prof,B111&amp;"|"&amp;E111,_xlpm.clave_todas,B111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11" s="75">
        <f>IFERROR(IF(B111="","",IF(I111="",0,I111)+IF(J111="",0,J111)+IF(K111="",0,K111)),"")</f>
        <v>146.29</v>
      </c>
      <c r="M111" s="75">
        <f>IFERROR(IF(L111="","",L111*$D$8),"")</f>
        <v>182.86249999999998</v>
      </c>
      <c r="N111" s="76">
        <f>IFERROR(IF(M111="","",CEILING(M111,50)),"")</f>
        <v>200</v>
      </c>
      <c r="O111" s="77">
        <v>0</v>
      </c>
      <c r="P111" s="78">
        <f>IFERROR(IF(G111="","",G111*N111*(1-O111)),"")</f>
        <v>1200</v>
      </c>
      <c r="Q111" s="79"/>
    </row>
    <row r="112" spans="1:17" ht="19.5" customHeight="1" x14ac:dyDescent="0.2">
      <c r="A112" s="72" t="s">
        <v>1641</v>
      </c>
      <c r="B112" s="69" t="s">
        <v>708</v>
      </c>
      <c r="C112" s="69">
        <v>40</v>
      </c>
      <c r="D112" s="69">
        <v>71</v>
      </c>
      <c r="E112" s="69" t="s">
        <v>97</v>
      </c>
      <c r="F112" s="69" t="s">
        <v>178</v>
      </c>
      <c r="G112" s="69">
        <v>6</v>
      </c>
      <c r="H112" s="73">
        <f>IFERROR(IF(B112="","",(C112/100)*(D112/100)),"")</f>
        <v>0.28399999999999997</v>
      </c>
      <c r="I112" s="74">
        <f>IFERROR(IF(B112="","",_xlfn.LET(_xlpm.tamano,IF(H112&lt;=0.5,"CHICO",IF(H112&lt;=1,"MEDIANO","GRANDE")),_xlpm.clave,B112&amp;"|"&amp;_xlpm.tamano,_xlpm.fila,MATCH(_xlpm.clave,COSTOS_M2!$H$5:$H$67,0),_xlpm.mat_m2,INDEX(IF(F112="HUANACAXTLE",COSTOS_M2!$D$5:$D$67,IF(F112="ENCINO",COSTOS_M2!$E$5:$E$67,COSTOS_M2!$F$5:$F$67)),_xlpm.fila),_xlpm.cons_m2,INDEX(COSTOS_M2!$G$5:$G$67,_xlpm.fila),_xlpm.prof_factor,IF(AND(E112&lt;&gt;"—",E112&lt;&gt;"",ISNUMBER(E112)),POWER(E112/40,1.8),1),_xlpm.total_m2,(_xlpm.mat_m2+_xlpm.cons_m2)*H112*_xlpm.prof_factor*IF(C112&gt;70,COSTOS_M2!$B$70,1)*IF(D112&gt;244,COSTOS_M2!$B$71,1),_xlpm.total_m2)),"")</f>
        <v>147.67999999999998</v>
      </c>
      <c r="J112" s="74">
        <f>IFERROR(IF(B112="","",INDEX(MANO_DE_OBRA!$P$10:$P$72,MATCH(B112&amp;"|"&amp;IF(H112&lt;=0.5,"CHICO",IF(H112&lt;=1,"MEDIANO","GRANDE")),MANO_DE_OBRA!$Q$10:$Q$72,0))),"")</f>
        <v>94.289999999999992</v>
      </c>
      <c r="K112" s="342">
        <f>IFERROR(IF(B112="","",_xlfn.LET(_xlpm.clave_prof,B112&amp;"|"&amp;E112,_xlpm.clave_todas,B112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12" s="75">
        <f>IFERROR(IF(B112="","",IF(I112="",0,I112)+IF(J112="",0,J112)+IF(K112="",0,K112)),"")</f>
        <v>241.96999999999997</v>
      </c>
      <c r="M112" s="75">
        <f>IFERROR(IF(L112="","",L112*$D$8),"")</f>
        <v>302.46249999999998</v>
      </c>
      <c r="N112" s="76">
        <f>IFERROR(IF(M112="","",CEILING(M112,50)),"")</f>
        <v>350</v>
      </c>
      <c r="O112" s="77">
        <v>0</v>
      </c>
      <c r="P112" s="78">
        <f>IFERROR(IF(G112="","",G112*N112*(1-O112)),"")</f>
        <v>2100</v>
      </c>
      <c r="Q112" s="79"/>
    </row>
    <row r="113" spans="1:17" ht="19.5" customHeight="1" x14ac:dyDescent="0.2">
      <c r="A113" s="72" t="s">
        <v>1641</v>
      </c>
      <c r="B113" s="69" t="s">
        <v>1626</v>
      </c>
      <c r="C113" s="69">
        <v>5</v>
      </c>
      <c r="D113" s="69">
        <v>620</v>
      </c>
      <c r="E113" s="69" t="s">
        <v>97</v>
      </c>
      <c r="F113" s="69" t="s">
        <v>178</v>
      </c>
      <c r="G113" s="69">
        <v>1</v>
      </c>
      <c r="H113" s="73">
        <f>IFERROR(IF(B113="","",(C113/100)*(D113/100)),"")</f>
        <v>0.31000000000000005</v>
      </c>
      <c r="I113" s="74">
        <f>IFERROR(IF(B113="","",_xlfn.LET(_xlpm.tamano,IF(H113&lt;=0.5,"CHICO",IF(H113&lt;=1,"MEDIANO","GRANDE")),_xlpm.clave,B113&amp;"|"&amp;_xlpm.tamano,_xlpm.fila,MATCH(_xlpm.clave,COSTOS_M2!$H$5:$H$67,0),_xlpm.mat_m2,INDEX(IF(F113="HUANACAXTLE",COSTOS_M2!$D$5:$D$67,IF(F113="ENCINO",COSTOS_M2!$E$5:$E$67,COSTOS_M2!$F$5:$F$67)),_xlpm.fila),_xlpm.cons_m2,INDEX(COSTOS_M2!$G$5:$G$67,_xlpm.fila),_xlpm.prof_factor,IF(AND(E113&lt;&gt;"—",E113&lt;&gt;"",ISNUMBER(E113)),POWER(E113/40,1.8),1),_xlpm.total_m2,(_xlpm.mat_m2+_xlpm.cons_m2)*H113*_xlpm.prof_factor*IF(C113&gt;70,COSTOS_M2!$B$70,1)*IF(D113&gt;244,COSTOS_M2!$B$71,1),_xlpm.total_m2)),"")</f>
        <v>2075.4500000000003</v>
      </c>
      <c r="J113" s="74">
        <f>IFERROR(IF(B113="","",INDEX(MANO_DE_OBRA!$P$10:$P$72,MATCH(B113&amp;"|"&amp;IF(H113&lt;=0.5,"CHICO",IF(H113&lt;=1,"MEDIANO","GRANDE")),MANO_DE_OBRA!$Q$10:$Q$72,0))),"")</f>
        <v>477.459</v>
      </c>
      <c r="K113" s="342">
        <f>IFERROR(IF(B113="","",_xlfn.LET(_xlpm.clave_prof,B113&amp;"|"&amp;E113,_xlpm.clave_todas,B113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13" s="75">
        <f>IFERROR(IF(B113="","",IF(I113="",0,I113)+IF(J113="",0,J113)+IF(K113="",0,K113)),"")</f>
        <v>2552.9090000000001</v>
      </c>
      <c r="M113" s="75">
        <f>IFERROR(IF(L113="","",L113*$D$8),"")</f>
        <v>3191.13625</v>
      </c>
      <c r="N113" s="76">
        <f>IFERROR(IF(M113="","",CEILING(M113,50)),"")</f>
        <v>3200</v>
      </c>
      <c r="O113" s="77">
        <v>0</v>
      </c>
      <c r="P113" s="78">
        <f>IFERROR(IF(G113="","",G113*N113*(1-O113)),"")</f>
        <v>3200</v>
      </c>
      <c r="Q113" s="79"/>
    </row>
    <row r="114" spans="1:17" ht="19.5" customHeight="1" x14ac:dyDescent="0.2">
      <c r="A114" s="72" t="s">
        <v>1641</v>
      </c>
      <c r="B114" s="69" t="s">
        <v>195</v>
      </c>
      <c r="C114" s="69">
        <v>33</v>
      </c>
      <c r="D114" s="69">
        <v>100</v>
      </c>
      <c r="E114" s="69" t="s">
        <v>97</v>
      </c>
      <c r="F114" s="69" t="s">
        <v>178</v>
      </c>
      <c r="G114" s="69">
        <v>1</v>
      </c>
      <c r="H114" s="73">
        <f>IFERROR(IF(B114="","",(C114/100)*(D114/100)),"")</f>
        <v>0.33</v>
      </c>
      <c r="I114" s="74">
        <f>IFERROR(IF(B114="","",_xlfn.LET(_xlpm.tamano,IF(H114&lt;=0.5,"CHICO",IF(H114&lt;=1,"MEDIANO","GRANDE")),_xlpm.clave,B114&amp;"|"&amp;_xlpm.tamano,_xlpm.fila,MATCH(_xlpm.clave,COSTOS_M2!$H$5:$H$67,0),_xlpm.mat_m2,INDEX(IF(F114="HUANACAXTLE",COSTOS_M2!$D$5:$D$67,IF(F114="ENCINO",COSTOS_M2!$E$5:$E$67,COSTOS_M2!$F$5:$F$67)),_xlpm.fila),_xlpm.cons_m2,INDEX(COSTOS_M2!$G$5:$G$67,_xlpm.fila),_xlpm.prof_factor,IF(AND(E114&lt;&gt;"—",E114&lt;&gt;"",ISNUMBER(E114)),POWER(E114/40,1.8),1),_xlpm.total_m2,(_xlpm.mat_m2+_xlpm.cons_m2)*H114*_xlpm.prof_factor*IF(C114&gt;70,COSTOS_M2!$B$70,1)*IF(D114&gt;244,COSTOS_M2!$B$71,1),_xlpm.total_m2)),"")</f>
        <v>244.86</v>
      </c>
      <c r="J114" s="74">
        <f>IFERROR(IF(B114="","",INDEX(MANO_DE_OBRA!$P$10:$P$72,MATCH(B114&amp;"|"&amp;IF(H114&lt;=0.5,"CHICO",IF(H114&lt;=1,"MEDIANO","GRANDE")),MANO_DE_OBRA!$Q$10:$Q$72,0))),"")</f>
        <v>395.78996999999998</v>
      </c>
      <c r="K114" s="342">
        <f>IFERROR(IF(B114="","",_xlfn.LET(_xlpm.clave_prof,B114&amp;"|"&amp;E114,_xlpm.clave_todas,B114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14" s="75">
        <f>IFERROR(IF(B114="","",IF(I114="",0,I114)+IF(J114="",0,J114)+IF(K114="",0,K114)),"")</f>
        <v>640.64996999999994</v>
      </c>
      <c r="M114" s="75">
        <f>IFERROR(IF(L114="","",L114*$D$8),"")</f>
        <v>800.81246249999992</v>
      </c>
      <c r="N114" s="76">
        <f>IFERROR(IF(M114="","",CEILING(M114,50)),"")</f>
        <v>850</v>
      </c>
      <c r="O114" s="77">
        <v>0</v>
      </c>
      <c r="P114" s="78">
        <f>IFERROR(IF(G114="","",G114*N114*(1-O114)),"")</f>
        <v>850</v>
      </c>
      <c r="Q114" s="79"/>
    </row>
    <row r="115" spans="1:17" ht="19.5" customHeight="1" x14ac:dyDescent="0.2">
      <c r="A115" s="72" t="s">
        <v>1641</v>
      </c>
      <c r="B115" s="69" t="s">
        <v>196</v>
      </c>
      <c r="C115" s="69">
        <v>33</v>
      </c>
      <c r="D115" s="69">
        <v>100</v>
      </c>
      <c r="E115" s="69" t="s">
        <v>97</v>
      </c>
      <c r="F115" s="69" t="s">
        <v>178</v>
      </c>
      <c r="G115" s="69">
        <v>1</v>
      </c>
      <c r="H115" s="73">
        <f>IFERROR(IF(B115="","",(C115/100)*(D115/100)),"")</f>
        <v>0.33</v>
      </c>
      <c r="I115" s="74">
        <f>IFERROR(IF(B115="","",_xlfn.LET(_xlpm.tamano,IF(H115&lt;=0.5,"CHICO",IF(H115&lt;=1,"MEDIANO","GRANDE")),_xlpm.clave,B115&amp;"|"&amp;_xlpm.tamano,_xlpm.fila,MATCH(_xlpm.clave,COSTOS_M2!$H$5:$H$67,0),_xlpm.mat_m2,INDEX(IF(F115="HUANACAXTLE",COSTOS_M2!$D$5:$D$67,IF(F115="ENCINO",COSTOS_M2!$E$5:$E$67,COSTOS_M2!$F$5:$F$67)),_xlpm.fila),_xlpm.cons_m2,INDEX(COSTOS_M2!$G$5:$G$67,_xlpm.fila),_xlpm.prof_factor,IF(AND(E115&lt;&gt;"—",E115&lt;&gt;"",ISNUMBER(E115)),POWER(E115/40,1.8),1),_xlpm.total_m2,(_xlpm.mat_m2+_xlpm.cons_m2)*H115*_xlpm.prof_factor*IF(C115&gt;70,COSTOS_M2!$B$70,1)*IF(D115&gt;244,COSTOS_M2!$B$71,1),_xlpm.total_m2)),"")</f>
        <v>293.04000000000002</v>
      </c>
      <c r="J115" s="74">
        <f>IFERROR(IF(B115="","",INDEX(MANO_DE_OBRA!$P$10:$P$72,MATCH(B115&amp;"|"&amp;IF(H115&lt;=0.5,"CHICO",IF(H115&lt;=1,"MEDIANO","GRANDE")),MANO_DE_OBRA!$Q$10:$Q$72,0))),"")</f>
        <v>404.95226999999994</v>
      </c>
      <c r="K115" s="342">
        <f>IFERROR(IF(B115="","",_xlfn.LET(_xlpm.clave_prof,B115&amp;"|"&amp;E115,_xlpm.clave_todas,B115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15" s="75">
        <f>IFERROR(IF(B115="","",IF(I115="",0,I115)+IF(J115="",0,J115)+IF(K115="",0,K115)),"")</f>
        <v>697.99226999999996</v>
      </c>
      <c r="M115" s="75">
        <f>IFERROR(IF(L115="","",L115*$D$8),"")</f>
        <v>872.4903374999999</v>
      </c>
      <c r="N115" s="76">
        <f>IFERROR(IF(M115="","",CEILING(M115,50)),"")</f>
        <v>900</v>
      </c>
      <c r="O115" s="77">
        <v>0</v>
      </c>
      <c r="P115" s="78">
        <f>IFERROR(IF(G115="","",G115*N115*(1-O115)),"")</f>
        <v>900</v>
      </c>
      <c r="Q115" s="79"/>
    </row>
    <row r="116" spans="1:17" ht="19.5" customHeight="1" x14ac:dyDescent="0.2">
      <c r="A116" s="72" t="s">
        <v>1641</v>
      </c>
      <c r="B116" s="69" t="s">
        <v>1623</v>
      </c>
      <c r="C116" s="69">
        <v>33</v>
      </c>
      <c r="D116" s="69">
        <v>100</v>
      </c>
      <c r="E116" s="69" t="s">
        <v>97</v>
      </c>
      <c r="F116" s="69" t="s">
        <v>178</v>
      </c>
      <c r="G116" s="69">
        <v>5</v>
      </c>
      <c r="H116" s="73">
        <f>IFERROR(IF(B116="","",(C116/100)*(D116/100)),"")</f>
        <v>0.33</v>
      </c>
      <c r="I116" s="74">
        <f>IFERROR(IF(B116="","",_xlfn.LET(_xlpm.tamano,IF(H116&lt;=0.5,"CHICO",IF(H116&lt;=1,"MEDIANO","GRANDE")),_xlpm.clave,B116&amp;"|"&amp;_xlpm.tamano,_xlpm.fila,MATCH(_xlpm.clave,COSTOS_M2!$H$5:$H$67,0),_xlpm.mat_m2,INDEX(IF(F116="HUANACAXTLE",COSTOS_M2!$D$5:$D$67,IF(F116="ENCINO",COSTOS_M2!$E$5:$E$67,COSTOS_M2!$F$5:$F$67)),_xlpm.fila),_xlpm.cons_m2,INDEX(COSTOS_M2!$G$5:$G$67,_xlpm.fila),_xlpm.prof_factor,IF(AND(E116&lt;&gt;"—",E116&lt;&gt;"",ISNUMBER(E116)),POWER(E116/40,1.8),1),_xlpm.total_m2,(_xlpm.mat_m2+_xlpm.cons_m2)*H116*_xlpm.prof_factor*IF(C116&gt;70,COSTOS_M2!$B$70,1)*IF(D116&gt;244,COSTOS_M2!$B$71,1),_xlpm.total_m2)),"")</f>
        <v>275.55</v>
      </c>
      <c r="J116" s="74">
        <f>IFERROR(IF(B116="","",INDEX(MANO_DE_OBRA!$P$10:$P$72,MATCH(B116&amp;"|"&amp;IF(H116&lt;=0.5,"CHICO",IF(H116&lt;=1,"MEDIANO","GRANDE")),MANO_DE_OBRA!$Q$10:$Q$72,0))),"")</f>
        <v>265.80149999999998</v>
      </c>
      <c r="K116" s="342">
        <f>IFERROR(IF(B116="","",_xlfn.LET(_xlpm.clave_prof,B116&amp;"|"&amp;E116,_xlpm.clave_todas,B116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16" s="75">
        <f>IFERROR(IF(B116="","",IF(I116="",0,I116)+IF(J116="",0,J116)+IF(K116="",0,K116)),"")</f>
        <v>541.35149999999999</v>
      </c>
      <c r="M116" s="75">
        <f>IFERROR(IF(L116="","",L116*$D$8),"")</f>
        <v>676.68937499999993</v>
      </c>
      <c r="N116" s="76">
        <f>IFERROR(IF(M116="","",CEILING(M116,50)),"")</f>
        <v>700</v>
      </c>
      <c r="O116" s="77">
        <v>0</v>
      </c>
      <c r="P116" s="78">
        <f>IFERROR(IF(G116="","",G116*N116*(1-O116)),"")</f>
        <v>3500</v>
      </c>
      <c r="Q116" s="79"/>
    </row>
    <row r="117" spans="1:17" ht="19.5" customHeight="1" x14ac:dyDescent="0.2">
      <c r="A117" s="72" t="s">
        <v>1641</v>
      </c>
      <c r="B117" s="69" t="s">
        <v>1628</v>
      </c>
      <c r="C117" s="69">
        <v>403</v>
      </c>
      <c r="D117" s="69">
        <v>240</v>
      </c>
      <c r="E117" s="69" t="s">
        <v>97</v>
      </c>
      <c r="F117" s="69" t="s">
        <v>178</v>
      </c>
      <c r="G117" s="69">
        <v>1</v>
      </c>
      <c r="H117" s="73">
        <f>IFERROR(IF(B117="","",(C117/100)*(D117/100)),"")</f>
        <v>9.6720000000000006</v>
      </c>
      <c r="I117" s="74">
        <f>IFERROR(IF(B117="","",_xlfn.LET(_xlpm.tamano,IF(H117&lt;=0.5,"CHICO",IF(H117&lt;=1,"MEDIANO","GRANDE")),_xlpm.clave,B117&amp;"|"&amp;_xlpm.tamano,_xlpm.fila,MATCH(_xlpm.clave,COSTOS_M2!$H$5:$H$67,0),_xlpm.mat_m2,INDEX(IF(F117="HUANACAXTLE",COSTOS_M2!$D$5:$D$67,IF(F117="ENCINO",COSTOS_M2!$E$5:$E$67,COSTOS_M2!$F$5:$F$67)),_xlpm.fila),_xlpm.cons_m2,INDEX(COSTOS_M2!$G$5:$G$67,_xlpm.fila),_xlpm.prof_factor,IF(AND(E117&lt;&gt;"—",E117&lt;&gt;"",ISNUMBER(E117)),POWER(E117/40,1.8),1),_xlpm.total_m2,(_xlpm.mat_m2+_xlpm.cons_m2)*H117*_xlpm.prof_factor*IF(C117&gt;70,COSTOS_M2!$B$70,1)*IF(D117&gt;244,COSTOS_M2!$B$71,1),_xlpm.total_m2)),"")</f>
        <v>2954.7960000000003</v>
      </c>
      <c r="J117" s="74">
        <f>IFERROR(IF(B117="","",INDEX(MANO_DE_OBRA!$P$10:$P$72,MATCH(B117&amp;"|"&amp;IF(H117&lt;=0.5,"CHICO",IF(H117&lt;=1,"MEDIANO","GRANDE")),MANO_DE_OBRA!$Q$10:$Q$72,0))),"")</f>
        <v>295.7955</v>
      </c>
      <c r="K117" s="342">
        <f>IFERROR(IF(B117="","",_xlfn.LET(_xlpm.clave_prof,B117&amp;"|"&amp;E117,_xlpm.clave_todas,B117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17" s="75">
        <f>IFERROR(IF(B117="","",IF(I117="",0,I117)+IF(J117="",0,J117)+IF(K117="",0,K117)),"")</f>
        <v>3250.5915000000005</v>
      </c>
      <c r="M117" s="75">
        <f>IFERROR(IF(L117="","",L117*$D$8),"")</f>
        <v>4063.2393750000006</v>
      </c>
      <c r="N117" s="76">
        <f>IFERROR(IF(M117="","",CEILING(M117,50)),"")</f>
        <v>4100</v>
      </c>
      <c r="O117" s="77">
        <v>0</v>
      </c>
      <c r="P117" s="78">
        <f>IFERROR(IF(G117="","",G117*N117*(1-O117)),"")</f>
        <v>4100</v>
      </c>
      <c r="Q117" s="79"/>
    </row>
    <row r="118" spans="1:17" ht="19.5" customHeight="1" x14ac:dyDescent="0.2">
      <c r="A118" s="72" t="s">
        <v>1642</v>
      </c>
      <c r="B118" s="69" t="s">
        <v>195</v>
      </c>
      <c r="C118" s="69">
        <v>55</v>
      </c>
      <c r="D118" s="69">
        <v>200</v>
      </c>
      <c r="E118" s="69" t="s">
        <v>97</v>
      </c>
      <c r="F118" s="69" t="s">
        <v>178</v>
      </c>
      <c r="G118" s="69">
        <v>1</v>
      </c>
      <c r="H118" s="73">
        <f>IFERROR(IF(B118="","",(C118/100)*(D118/100)),"")</f>
        <v>1.1000000000000001</v>
      </c>
      <c r="I118" s="74">
        <f>IFERROR(IF(B118="","",_xlfn.LET(_xlpm.tamano,IF(H118&lt;=0.5,"CHICO",IF(H118&lt;=1,"MEDIANO","GRANDE")),_xlpm.clave,B118&amp;"|"&amp;_xlpm.tamano,_xlpm.fila,MATCH(_xlpm.clave,COSTOS_M2!$H$5:$H$67,0),_xlpm.mat_m2,INDEX(IF(F118="HUANACAXTLE",COSTOS_M2!$D$5:$D$67,IF(F118="ENCINO",COSTOS_M2!$E$5:$E$67,COSTOS_M2!$F$5:$F$67)),_xlpm.fila),_xlpm.cons_m2,INDEX(COSTOS_M2!$G$5:$G$67,_xlpm.fila),_xlpm.prof_factor,IF(AND(E118&lt;&gt;"—",E118&lt;&gt;"",ISNUMBER(E118)),POWER(E118/40,1.8),1),_xlpm.total_m2,(_xlpm.mat_m2+_xlpm.cons_m2)*H118*_xlpm.prof_factor*IF(C118&gt;70,COSTOS_M2!$B$70,1)*IF(D118&gt;244,COSTOS_M2!$B$71,1),_xlpm.total_m2)),"")</f>
        <v>740.30000000000007</v>
      </c>
      <c r="J118" s="74">
        <f>IFERROR(IF(B118="","",INDEX(MANO_DE_OBRA!$P$10:$P$72,MATCH(B118&amp;"|"&amp;IF(H118&lt;=0.5,"CHICO",IF(H118&lt;=1,"MEDIANO","GRANDE")),MANO_DE_OBRA!$Q$10:$Q$72,0))),"")</f>
        <v>614.34549000000015</v>
      </c>
      <c r="K118" s="342">
        <f>IFERROR(IF(B118="","",_xlfn.LET(_xlpm.clave_prof,B118&amp;"|"&amp;E118,_xlpm.clave_todas,B118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18" s="75">
        <f>IFERROR(IF(B118="","",IF(I118="",0,I118)+IF(J118="",0,J118)+IF(K118="",0,K118)),"")</f>
        <v>1354.6454900000003</v>
      </c>
      <c r="M118" s="75">
        <f>IFERROR(IF(L118="","",L118*$D$8),"")</f>
        <v>1693.3068625000005</v>
      </c>
      <c r="N118" s="76">
        <f>IFERROR(IF(M118="","",CEILING(M118,50)),"")</f>
        <v>1700</v>
      </c>
      <c r="O118" s="77">
        <v>0</v>
      </c>
      <c r="P118" s="78">
        <f>IFERROR(IF(G118="","",G118*N118*(1-O118)),"")</f>
        <v>1700</v>
      </c>
      <c r="Q118" s="79"/>
    </row>
    <row r="119" spans="1:17" ht="19.5" customHeight="1" x14ac:dyDescent="0.2">
      <c r="A119" s="72" t="s">
        <v>1642</v>
      </c>
      <c r="B119" s="69" t="s">
        <v>195</v>
      </c>
      <c r="C119" s="69">
        <v>55</v>
      </c>
      <c r="D119" s="69">
        <v>106</v>
      </c>
      <c r="E119" s="69" t="s">
        <v>97</v>
      </c>
      <c r="F119" s="69" t="s">
        <v>178</v>
      </c>
      <c r="G119" s="69">
        <v>1</v>
      </c>
      <c r="H119" s="73">
        <f>IFERROR(IF(B119="","",(C119/100)*(D119/100)),"")</f>
        <v>0.58300000000000007</v>
      </c>
      <c r="I119" s="74">
        <f>IFERROR(IF(B119="","",_xlfn.LET(_xlpm.tamano,IF(H119&lt;=0.5,"CHICO",IF(H119&lt;=1,"MEDIANO","GRANDE")),_xlpm.clave,B119&amp;"|"&amp;_xlpm.tamano,_xlpm.fila,MATCH(_xlpm.clave,COSTOS_M2!$H$5:$H$67,0),_xlpm.mat_m2,INDEX(IF(F119="HUANACAXTLE",COSTOS_M2!$D$5:$D$67,IF(F119="ENCINO",COSTOS_M2!$E$5:$E$67,COSTOS_M2!$F$5:$F$67)),_xlpm.fila),_xlpm.cons_m2,INDEX(COSTOS_M2!$G$5:$G$67,_xlpm.fila),_xlpm.prof_factor,IF(AND(E119&lt;&gt;"—",E119&lt;&gt;"",ISNUMBER(E119)),POWER(E119/40,1.8),1),_xlpm.total_m2,(_xlpm.mat_m2+_xlpm.cons_m2)*H119*_xlpm.prof_factor*IF(C119&gt;70,COSTOS_M2!$B$70,1)*IF(D119&gt;244,COSTOS_M2!$B$71,1),_xlpm.total_m2)),"")</f>
        <v>409.26600000000008</v>
      </c>
      <c r="J119" s="74">
        <f>IFERROR(IF(B119="","",INDEX(MANO_DE_OBRA!$P$10:$P$72,MATCH(B119&amp;"|"&amp;IF(H119&lt;=0.5,"CHICO",IF(H119&lt;=1,"MEDIANO","GRANDE")),MANO_DE_OBRA!$Q$10:$Q$72,0))),"")</f>
        <v>469.28723999999994</v>
      </c>
      <c r="K119" s="342">
        <f>IFERROR(IF(B119="","",_xlfn.LET(_xlpm.clave_prof,B119&amp;"|"&amp;E119,_xlpm.clave_todas,B119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19" s="75">
        <f>IFERROR(IF(B119="","",IF(I119="",0,I119)+IF(J119="",0,J119)+IF(K119="",0,K119)),"")</f>
        <v>878.55323999999996</v>
      </c>
      <c r="M119" s="75">
        <f>IFERROR(IF(L119="","",L119*$D$8),"")</f>
        <v>1098.19155</v>
      </c>
      <c r="N119" s="76">
        <f>IFERROR(IF(M119="","",CEILING(M119,50)),"")</f>
        <v>1100</v>
      </c>
      <c r="O119" s="77">
        <v>0</v>
      </c>
      <c r="P119" s="78">
        <f>IFERROR(IF(G119="","",G119*N119*(1-O119)),"")</f>
        <v>1100</v>
      </c>
      <c r="Q119" s="79"/>
    </row>
    <row r="120" spans="1:17" ht="19.5" customHeight="1" x14ac:dyDescent="0.2">
      <c r="A120" s="72" t="s">
        <v>1642</v>
      </c>
      <c r="B120" s="69" t="s">
        <v>196</v>
      </c>
      <c r="C120" s="69">
        <v>55</v>
      </c>
      <c r="D120" s="69">
        <v>200</v>
      </c>
      <c r="E120" s="69" t="s">
        <v>97</v>
      </c>
      <c r="F120" s="69" t="s">
        <v>178</v>
      </c>
      <c r="G120" s="69">
        <v>1</v>
      </c>
      <c r="H120" s="73">
        <f>IFERROR(IF(B120="","",(C120/100)*(D120/100)),"")</f>
        <v>1.1000000000000001</v>
      </c>
      <c r="I120" s="74">
        <f>IFERROR(IF(B120="","",_xlfn.LET(_xlpm.tamano,IF(H120&lt;=0.5,"CHICO",IF(H120&lt;=1,"MEDIANO","GRANDE")),_xlpm.clave,B120&amp;"|"&amp;_xlpm.tamano,_xlpm.fila,MATCH(_xlpm.clave,COSTOS_M2!$H$5:$H$67,0),_xlpm.mat_m2,INDEX(IF(F120="HUANACAXTLE",COSTOS_M2!$D$5:$D$67,IF(F120="ENCINO",COSTOS_M2!$E$5:$E$67,COSTOS_M2!$F$5:$F$67)),_xlpm.fila),_xlpm.cons_m2,INDEX(COSTOS_M2!$G$5:$G$67,_xlpm.fila),_xlpm.prof_factor,IF(AND(E120&lt;&gt;"—",E120&lt;&gt;"",ISNUMBER(E120)),POWER(E120/40,1.8),1),_xlpm.total_m2,(_xlpm.mat_m2+_xlpm.cons_m2)*H120*_xlpm.prof_factor*IF(C120&gt;70,COSTOS_M2!$B$70,1)*IF(D120&gt;244,COSTOS_M2!$B$71,1),_xlpm.total_m2)),"")</f>
        <v>888.80000000000007</v>
      </c>
      <c r="J120" s="74">
        <f>IFERROR(IF(B120="","",INDEX(MANO_DE_OBRA!$P$10:$P$72,MATCH(B120&amp;"|"&amp;IF(H120&lt;=0.5,"CHICO",IF(H120&lt;=1,"MEDIANO","GRANDE")),MANO_DE_OBRA!$Q$10:$Q$72,0))),"")</f>
        <v>762.95904000000007</v>
      </c>
      <c r="K120" s="342">
        <f>IFERROR(IF(B120="","",_xlfn.LET(_xlpm.clave_prof,B120&amp;"|"&amp;E120,_xlpm.clave_todas,B120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20" s="75">
        <f>IFERROR(IF(B120="","",IF(I120="",0,I120)+IF(J120="",0,J120)+IF(K120="",0,K120)),"")</f>
        <v>1651.7590400000001</v>
      </c>
      <c r="M120" s="75">
        <f>IFERROR(IF(L120="","",L120*$D$8),"")</f>
        <v>2064.6988000000001</v>
      </c>
      <c r="N120" s="76">
        <f>IFERROR(IF(M120="","",CEILING(M120,50)),"")</f>
        <v>2100</v>
      </c>
      <c r="O120" s="77">
        <v>0</v>
      </c>
      <c r="P120" s="78">
        <f>IFERROR(IF(G120="","",G120*N120*(1-O120)),"")</f>
        <v>2100</v>
      </c>
      <c r="Q120" s="79"/>
    </row>
    <row r="121" spans="1:17" ht="19.5" customHeight="1" x14ac:dyDescent="0.2">
      <c r="A121" s="72" t="s">
        <v>1642</v>
      </c>
      <c r="B121" s="69" t="s">
        <v>196</v>
      </c>
      <c r="C121" s="69">
        <v>55</v>
      </c>
      <c r="D121" s="69">
        <v>106</v>
      </c>
      <c r="E121" s="69" t="s">
        <v>97</v>
      </c>
      <c r="F121" s="69" t="s">
        <v>178</v>
      </c>
      <c r="G121" s="69">
        <v>1</v>
      </c>
      <c r="H121" s="73">
        <f>IFERROR(IF(B121="","",(C121/100)*(D121/100)),"")</f>
        <v>0.58300000000000007</v>
      </c>
      <c r="I121" s="74">
        <f>IFERROR(IF(B121="","",_xlfn.LET(_xlpm.tamano,IF(H121&lt;=0.5,"CHICO",IF(H121&lt;=1,"MEDIANO","GRANDE")),_xlpm.clave,B121&amp;"|"&amp;_xlpm.tamano,_xlpm.fila,MATCH(_xlpm.clave,COSTOS_M2!$H$5:$H$67,0),_xlpm.mat_m2,INDEX(IF(F121="HUANACAXTLE",COSTOS_M2!$D$5:$D$67,IF(F121="ENCINO",COSTOS_M2!$E$5:$E$67,COSTOS_M2!$F$5:$F$67)),_xlpm.fila),_xlpm.cons_m2,INDEX(COSTOS_M2!$G$5:$G$67,_xlpm.fila),_xlpm.prof_factor,IF(AND(E121&lt;&gt;"—",E121&lt;&gt;"",ISNUMBER(E121)),POWER(E121/40,1.8),1),_xlpm.total_m2,(_xlpm.mat_m2+_xlpm.cons_m2)*H121*_xlpm.prof_factor*IF(C121&gt;70,COSTOS_M2!$B$70,1)*IF(D121&gt;244,COSTOS_M2!$B$71,1),_xlpm.total_m2)),"")</f>
        <v>487.38800000000003</v>
      </c>
      <c r="J121" s="74">
        <f>IFERROR(IF(B121="","",INDEX(MANO_DE_OBRA!$P$10:$P$72,MATCH(B121&amp;"|"&amp;IF(H121&lt;=0.5,"CHICO",IF(H121&lt;=1,"MEDIANO","GRANDE")),MANO_DE_OBRA!$Q$10:$Q$72,0))),"")</f>
        <v>520.05040499999996</v>
      </c>
      <c r="K121" s="342">
        <f>IFERROR(IF(B121="","",_xlfn.LET(_xlpm.clave_prof,B121&amp;"|"&amp;E121,_xlpm.clave_todas,B121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21" s="75">
        <f>IFERROR(IF(B121="","",IF(I121="",0,I121)+IF(J121="",0,J121)+IF(K121="",0,K121)),"")</f>
        <v>1007.438405</v>
      </c>
      <c r="M121" s="75">
        <f>IFERROR(IF(L121="","",L121*$D$8),"")</f>
        <v>1259.2980062500001</v>
      </c>
      <c r="N121" s="76">
        <f>IFERROR(IF(M121="","",CEILING(M121,50)),"")</f>
        <v>1300</v>
      </c>
      <c r="O121" s="77">
        <v>0</v>
      </c>
      <c r="P121" s="78">
        <f>IFERROR(IF(G121="","",G121*N121*(1-O121)),"")</f>
        <v>1300</v>
      </c>
      <c r="Q121" s="79"/>
    </row>
    <row r="122" spans="1:17" ht="19.5" customHeight="1" x14ac:dyDescent="0.2">
      <c r="A122" s="72" t="s">
        <v>1642</v>
      </c>
      <c r="B122" s="69" t="s">
        <v>192</v>
      </c>
      <c r="C122" s="69">
        <v>55</v>
      </c>
      <c r="D122" s="69">
        <v>220</v>
      </c>
      <c r="E122" s="69" t="s">
        <v>97</v>
      </c>
      <c r="F122" s="69" t="s">
        <v>178</v>
      </c>
      <c r="G122" s="69">
        <v>1</v>
      </c>
      <c r="H122" s="73">
        <f>IFERROR(IF(B122="","",(C122/100)*(D122/100)),"")</f>
        <v>1.2100000000000002</v>
      </c>
      <c r="I122" s="74">
        <f>IFERROR(IF(B122="","",_xlfn.LET(_xlpm.tamano,IF(H122&lt;=0.5,"CHICO",IF(H122&lt;=1,"MEDIANO","GRANDE")),_xlpm.clave,B122&amp;"|"&amp;_xlpm.tamano,_xlpm.fila,MATCH(_xlpm.clave,COSTOS_M2!$H$5:$H$67,0),_xlpm.mat_m2,INDEX(IF(F122="HUANACAXTLE",COSTOS_M2!$D$5:$D$67,IF(F122="ENCINO",COSTOS_M2!$E$5:$E$67,COSTOS_M2!$F$5:$F$67)),_xlpm.fila),_xlpm.cons_m2,INDEX(COSTOS_M2!$G$5:$G$67,_xlpm.fila),_xlpm.prof_factor,IF(AND(E122&lt;&gt;"—",E122&lt;&gt;"",ISNUMBER(E122)),POWER(E122/40,1.8),1),_xlpm.total_m2,(_xlpm.mat_m2+_xlpm.cons_m2)*H122*_xlpm.prof_factor*IF(C122&gt;70,COSTOS_M2!$B$70,1)*IF(D122&gt;244,COSTOS_M2!$B$71,1),_xlpm.total_m2)),"")</f>
        <v>833.69000000000017</v>
      </c>
      <c r="J122" s="74">
        <f>IFERROR(IF(B122="","",INDEX(MANO_DE_OBRA!$P$10:$P$72,MATCH(B122&amp;"|"&amp;IF(H122&lt;=0.5,"CHICO",IF(H122&lt;=1,"MEDIANO","GRANDE")),MANO_DE_OBRA!$Q$10:$Q$72,0))),"")</f>
        <v>587.22913499999993</v>
      </c>
      <c r="K122" s="342">
        <f>IFERROR(IF(B122="","",_xlfn.LET(_xlpm.clave_prof,B122&amp;"|"&amp;E122,_xlpm.clave_todas,B122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22" s="75">
        <f>IFERROR(IF(B122="","",IF(I122="",0,I122)+IF(J122="",0,J122)+IF(K122="",0,K122)),"")</f>
        <v>1420.9191350000001</v>
      </c>
      <c r="M122" s="75">
        <f>IFERROR(IF(L122="","",L122*$D$8),"")</f>
        <v>1776.1489187500001</v>
      </c>
      <c r="N122" s="76">
        <f>IFERROR(IF(M122="","",CEILING(M122,50)),"")</f>
        <v>1800</v>
      </c>
      <c r="O122" s="77">
        <v>0</v>
      </c>
      <c r="P122" s="78">
        <f>IFERROR(IF(G122="","",G122*N122*(1-O122)),"")</f>
        <v>1800</v>
      </c>
      <c r="Q122" s="79"/>
    </row>
    <row r="123" spans="1:17" ht="19.5" customHeight="1" x14ac:dyDescent="0.2">
      <c r="A123" s="72" t="s">
        <v>1642</v>
      </c>
      <c r="B123" s="69" t="s">
        <v>193</v>
      </c>
      <c r="C123" s="69">
        <v>55</v>
      </c>
      <c r="D123" s="69">
        <v>220</v>
      </c>
      <c r="E123" s="69" t="s">
        <v>97</v>
      </c>
      <c r="F123" s="69" t="s">
        <v>178</v>
      </c>
      <c r="G123" s="69">
        <v>3</v>
      </c>
      <c r="H123" s="73">
        <f>IFERROR(IF(B123="","",(C123/100)*(D123/100)),"")</f>
        <v>1.2100000000000002</v>
      </c>
      <c r="I123" s="74">
        <f>IFERROR(IF(B123="","",_xlfn.LET(_xlpm.tamano,IF(H123&lt;=0.5,"CHICO",IF(H123&lt;=1,"MEDIANO","GRANDE")),_xlpm.clave,B123&amp;"|"&amp;_xlpm.tamano,_xlpm.fila,MATCH(_xlpm.clave,COSTOS_M2!$H$5:$H$67,0),_xlpm.mat_m2,INDEX(IF(F123="HUANACAXTLE",COSTOS_M2!$D$5:$D$67,IF(F123="ENCINO",COSTOS_M2!$E$5:$E$67,COSTOS_M2!$F$5:$F$67)),_xlpm.fila),_xlpm.cons_m2,INDEX(COSTOS_M2!$G$5:$G$67,_xlpm.fila),_xlpm.prof_factor,IF(AND(E123&lt;&gt;"—",E123&lt;&gt;"",ISNUMBER(E123)),POWER(E123/40,1.8),1),_xlpm.total_m2,(_xlpm.mat_m2+_xlpm.cons_m2)*H123*_xlpm.prof_factor*IF(C123&gt;70,COSTOS_M2!$B$70,1)*IF(D123&gt;244,COSTOS_M2!$B$71,1),_xlpm.total_m2)),"")</f>
        <v>1370.9300000000003</v>
      </c>
      <c r="J123" s="74">
        <f>IFERROR(IF(B123="","",INDEX(MANO_DE_OBRA!$P$10:$P$72,MATCH(B123&amp;"|"&amp;IF(H123&lt;=0.5,"CHICO",IF(H123&lt;=1,"MEDIANO","GRANDE")),MANO_DE_OBRA!$Q$10:$Q$72,0))),"")</f>
        <v>751.15698000000009</v>
      </c>
      <c r="K123" s="342">
        <f>IFERROR(IF(B123="","",_xlfn.LET(_xlpm.clave_prof,B123&amp;"|"&amp;E123,_xlpm.clave_todas,B123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23" s="75">
        <f>IFERROR(IF(B123="","",IF(I123="",0,I123)+IF(J123="",0,J123)+IF(K123="",0,K123)),"")</f>
        <v>2122.0869800000005</v>
      </c>
      <c r="M123" s="75">
        <f>IFERROR(IF(L123="","",L123*$D$8),"")</f>
        <v>2652.6087250000005</v>
      </c>
      <c r="N123" s="76">
        <f>IFERROR(IF(M123="","",CEILING(M123,50)),"")</f>
        <v>2700</v>
      </c>
      <c r="O123" s="77">
        <v>0</v>
      </c>
      <c r="P123" s="78">
        <f>IFERROR(IF(G123="","",G123*N123*(1-O123)),"")</f>
        <v>8100</v>
      </c>
      <c r="Q123" s="79"/>
    </row>
    <row r="124" spans="1:17" ht="19.5" customHeight="1" x14ac:dyDescent="0.2">
      <c r="A124" s="72" t="s">
        <v>1642</v>
      </c>
      <c r="B124" s="69" t="s">
        <v>1623</v>
      </c>
      <c r="C124" s="69">
        <v>55</v>
      </c>
      <c r="D124" s="69">
        <v>100</v>
      </c>
      <c r="E124" s="69" t="s">
        <v>97</v>
      </c>
      <c r="F124" s="69" t="s">
        <v>178</v>
      </c>
      <c r="G124" s="69">
        <v>3</v>
      </c>
      <c r="H124" s="73">
        <f>IFERROR(IF(B124="","",(C124/100)*(D124/100)),"")</f>
        <v>0.55000000000000004</v>
      </c>
      <c r="I124" s="74">
        <f>IFERROR(IF(B124="","",_xlfn.LET(_xlpm.tamano,IF(H124&lt;=0.5,"CHICO",IF(H124&lt;=1,"MEDIANO","GRANDE")),_xlpm.clave,B124&amp;"|"&amp;_xlpm.tamano,_xlpm.fila,MATCH(_xlpm.clave,COSTOS_M2!$H$5:$H$67,0),_xlpm.mat_m2,INDEX(IF(F124="HUANACAXTLE",COSTOS_M2!$D$5:$D$67,IF(F124="ENCINO",COSTOS_M2!$E$5:$E$67,COSTOS_M2!$F$5:$F$67)),_xlpm.fila),_xlpm.cons_m2,INDEX(COSTOS_M2!$G$5:$G$67,_xlpm.fila),_xlpm.prof_factor,IF(AND(E124&lt;&gt;"—",E124&lt;&gt;"",ISNUMBER(E124)),POWER(E124/40,1.8),1),_xlpm.total_m2,(_xlpm.mat_m2+_xlpm.cons_m2)*H124*_xlpm.prof_factor*IF(C124&gt;70,COSTOS_M2!$B$70,1)*IF(D124&gt;244,COSTOS_M2!$B$71,1),_xlpm.total_m2)),"")</f>
        <v>431.75000000000006</v>
      </c>
      <c r="J124" s="74">
        <f>IFERROR(IF(B124="","",INDEX(MANO_DE_OBRA!$P$10:$P$72,MATCH(B124&amp;"|"&amp;IF(H124&lt;=0.5,"CHICO",IF(H124&lt;=1,"MEDIANO","GRANDE")),MANO_DE_OBRA!$Q$10:$Q$72,0))),"")</f>
        <v>400.55880000000002</v>
      </c>
      <c r="K124" s="342">
        <f>IFERROR(IF(B124="","",_xlfn.LET(_xlpm.clave_prof,B124&amp;"|"&amp;E124,_xlpm.clave_todas,B124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24" s="75">
        <f>IFERROR(IF(B124="","",IF(I124="",0,I124)+IF(J124="",0,J124)+IF(K124="",0,K124)),"")</f>
        <v>832.30880000000002</v>
      </c>
      <c r="M124" s="75">
        <f>IFERROR(IF(L124="","",L124*$D$8),"")</f>
        <v>1040.386</v>
      </c>
      <c r="N124" s="76">
        <f>IFERROR(IF(M124="","",CEILING(M124,50)),"")</f>
        <v>1050</v>
      </c>
      <c r="O124" s="77">
        <v>0</v>
      </c>
      <c r="P124" s="78">
        <f>IFERROR(IF(G124="","",G124*N124*(1-O124)),"")</f>
        <v>3150</v>
      </c>
      <c r="Q124" s="79"/>
    </row>
    <row r="125" spans="1:17" ht="19.5" customHeight="1" x14ac:dyDescent="0.2">
      <c r="A125" s="72" t="s">
        <v>1642</v>
      </c>
      <c r="B125" s="69" t="s">
        <v>203</v>
      </c>
      <c r="C125" s="69" t="s">
        <v>205</v>
      </c>
      <c r="D125" s="69">
        <v>100</v>
      </c>
      <c r="E125" s="69" t="s">
        <v>97</v>
      </c>
      <c r="F125" s="69" t="s">
        <v>178</v>
      </c>
      <c r="G125" s="69">
        <v>6</v>
      </c>
      <c r="H125" s="73" t="str">
        <f>IFERROR(IF(B125="","",(C125/100)*(D125/100)),"")</f>
        <v/>
      </c>
      <c r="I125" s="74" t="str">
        <f>IFERROR(IF(B125="","",_xlfn.LET(_xlpm.tamano,IF(H125&lt;=0.5,"CHICO",IF(H125&lt;=1,"MEDIANO","GRANDE")),_xlpm.clave,B125&amp;"|"&amp;_xlpm.tamano,_xlpm.fila,MATCH(_xlpm.clave,COSTOS_M2!$H$5:$H$67,0),_xlpm.mat_m2,INDEX(IF(F125="HUANACAXTLE",COSTOS_M2!$D$5:$D$67,IF(F125="ENCINO",COSTOS_M2!$E$5:$E$67,COSTOS_M2!$F$5:$F$67)),_xlpm.fila),_xlpm.cons_m2,INDEX(COSTOS_M2!$G$5:$G$67,_xlpm.fila),_xlpm.prof_factor,IF(AND(E125&lt;&gt;"—",E125&lt;&gt;"",ISNUMBER(E125)),POWER(E125/40,1.8),1),_xlpm.total_m2,(_xlpm.mat_m2+_xlpm.cons_m2)*H125*_xlpm.prof_factor*IF(C125&gt;70,COSTOS_M2!$B$70,1)*IF(D125&gt;244,COSTOS_M2!$B$71,1),_xlpm.total_m2)),"")</f>
        <v/>
      </c>
      <c r="J125" s="74">
        <f>IFERROR(IF(B125="","",INDEX(MANO_DE_OBRA!$P$10:$P$72,MATCH(B125&amp;"|"&amp;IF(H125&lt;=0.5,"CHICO",IF(H125&lt;=1,"MEDIANO","GRANDE")),MANO_DE_OBRA!$Q$10:$Q$72,0))),"")</f>
        <v>25.592999999999996</v>
      </c>
      <c r="K125" s="342">
        <f>IFERROR(IF(B125="","",_xlfn.LET(_xlpm.clave_prof,B125&amp;"|"&amp;E125,_xlpm.clave_todas,B125&amp;"|TODAS",_xlpm.herr_prof,SUMIFS(HERRAJES!$H$5:$H$36,HERRAJES!$J$5:$J$36,_xlpm.clave_prof),_xlpm.herr_todas,SUMIFS(HERRAJES!$H$5:$H$36,HERRAJES!$J$5:$J$36,_xlpm.clave_todas),IF(_xlpm.herr_prof&gt;0,_xlpm.herr_prof,_xlpm.herr_todas))),"")</f>
        <v>2.74</v>
      </c>
      <c r="L125" s="75">
        <f>IFERROR(IF(B125="","",IF(I125="",0,I125)+IF(J125="",0,J125)+IF(K125="",0,K125)),"")</f>
        <v>28.332999999999998</v>
      </c>
      <c r="M125" s="75">
        <f>IFERROR(IF(L125="","",L125*$D$8),"")</f>
        <v>35.416249999999998</v>
      </c>
      <c r="N125" s="76">
        <f>IFERROR(IF(M125="","",CEILING(M125,50)),"")</f>
        <v>50</v>
      </c>
      <c r="O125" s="77">
        <v>0</v>
      </c>
      <c r="P125" s="78">
        <f>IFERROR(IF(G125="","",G125*N125*(1-O125)),"")</f>
        <v>300</v>
      </c>
      <c r="Q125" s="79"/>
    </row>
    <row r="126" spans="1:17" ht="19.5" customHeight="1" x14ac:dyDescent="0.2">
      <c r="A126" s="72" t="s">
        <v>1642</v>
      </c>
      <c r="B126" s="69" t="s">
        <v>195</v>
      </c>
      <c r="C126" s="69">
        <v>33</v>
      </c>
      <c r="D126" s="69">
        <v>100</v>
      </c>
      <c r="E126" s="69" t="s">
        <v>97</v>
      </c>
      <c r="F126" s="69" t="s">
        <v>178</v>
      </c>
      <c r="G126" s="69">
        <v>1</v>
      </c>
      <c r="H126" s="73">
        <f>IFERROR(IF(B126="","",(C126/100)*(D126/100)),"")</f>
        <v>0.33</v>
      </c>
      <c r="I126" s="74">
        <f>IFERROR(IF(B126="","",_xlfn.LET(_xlpm.tamano,IF(H126&lt;=0.5,"CHICO",IF(H126&lt;=1,"MEDIANO","GRANDE")),_xlpm.clave,B126&amp;"|"&amp;_xlpm.tamano,_xlpm.fila,MATCH(_xlpm.clave,COSTOS_M2!$H$5:$H$67,0),_xlpm.mat_m2,INDEX(IF(F126="HUANACAXTLE",COSTOS_M2!$D$5:$D$67,IF(F126="ENCINO",COSTOS_M2!$E$5:$E$67,COSTOS_M2!$F$5:$F$67)),_xlpm.fila),_xlpm.cons_m2,INDEX(COSTOS_M2!$G$5:$G$67,_xlpm.fila),_xlpm.prof_factor,IF(AND(E126&lt;&gt;"—",E126&lt;&gt;"",ISNUMBER(E126)),POWER(E126/40,1.8),1),_xlpm.total_m2,(_xlpm.mat_m2+_xlpm.cons_m2)*H126*_xlpm.prof_factor*IF(C126&gt;70,COSTOS_M2!$B$70,1)*IF(D126&gt;244,COSTOS_M2!$B$71,1),_xlpm.total_m2)),"")</f>
        <v>244.86</v>
      </c>
      <c r="J126" s="74">
        <f>IFERROR(IF(B126="","",INDEX(MANO_DE_OBRA!$P$10:$P$72,MATCH(B126&amp;"|"&amp;IF(H126&lt;=0.5,"CHICO",IF(H126&lt;=1,"MEDIANO","GRANDE")),MANO_DE_OBRA!$Q$10:$Q$72,0))),"")</f>
        <v>395.78996999999998</v>
      </c>
      <c r="K126" s="342">
        <f>IFERROR(IF(B126="","",_xlfn.LET(_xlpm.clave_prof,B126&amp;"|"&amp;E126,_xlpm.clave_todas,B126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26" s="75">
        <f>IFERROR(IF(B126="","",IF(I126="",0,I126)+IF(J126="",0,J126)+IF(K126="",0,K126)),"")</f>
        <v>640.64996999999994</v>
      </c>
      <c r="M126" s="75">
        <f>IFERROR(IF(L126="","",L126*$D$8),"")</f>
        <v>800.81246249999992</v>
      </c>
      <c r="N126" s="76">
        <f>IFERROR(IF(M126="","",CEILING(M126,50)),"")</f>
        <v>850</v>
      </c>
      <c r="O126" s="77">
        <v>0</v>
      </c>
      <c r="P126" s="78">
        <f>IFERROR(IF(G126="","",G126*N126*(1-O126)),"")</f>
        <v>850</v>
      </c>
      <c r="Q126" s="79"/>
    </row>
    <row r="127" spans="1:17" ht="19.5" customHeight="1" x14ac:dyDescent="0.2">
      <c r="A127" s="72" t="s">
        <v>1642</v>
      </c>
      <c r="B127" s="69" t="s">
        <v>196</v>
      </c>
      <c r="C127" s="69">
        <v>33</v>
      </c>
      <c r="D127" s="69">
        <v>100</v>
      </c>
      <c r="E127" s="69" t="s">
        <v>97</v>
      </c>
      <c r="F127" s="69" t="s">
        <v>178</v>
      </c>
      <c r="G127" s="69">
        <v>1</v>
      </c>
      <c r="H127" s="73">
        <f>IFERROR(IF(B127="","",(C127/100)*(D127/100)),"")</f>
        <v>0.33</v>
      </c>
      <c r="I127" s="74">
        <f>IFERROR(IF(B127="","",_xlfn.LET(_xlpm.tamano,IF(H127&lt;=0.5,"CHICO",IF(H127&lt;=1,"MEDIANO","GRANDE")),_xlpm.clave,B127&amp;"|"&amp;_xlpm.tamano,_xlpm.fila,MATCH(_xlpm.clave,COSTOS_M2!$H$5:$H$67,0),_xlpm.mat_m2,INDEX(IF(F127="HUANACAXTLE",COSTOS_M2!$D$5:$D$67,IF(F127="ENCINO",COSTOS_M2!$E$5:$E$67,COSTOS_M2!$F$5:$F$67)),_xlpm.fila),_xlpm.cons_m2,INDEX(COSTOS_M2!$G$5:$G$67,_xlpm.fila),_xlpm.prof_factor,IF(AND(E127&lt;&gt;"—",E127&lt;&gt;"",ISNUMBER(E127)),POWER(E127/40,1.8),1),_xlpm.total_m2,(_xlpm.mat_m2+_xlpm.cons_m2)*H127*_xlpm.prof_factor*IF(C127&gt;70,COSTOS_M2!$B$70,1)*IF(D127&gt;244,COSTOS_M2!$B$71,1),_xlpm.total_m2)),"")</f>
        <v>293.04000000000002</v>
      </c>
      <c r="J127" s="74">
        <f>IFERROR(IF(B127="","",INDEX(MANO_DE_OBRA!$P$10:$P$72,MATCH(B127&amp;"|"&amp;IF(H127&lt;=0.5,"CHICO",IF(H127&lt;=1,"MEDIANO","GRANDE")),MANO_DE_OBRA!$Q$10:$Q$72,0))),"")</f>
        <v>404.95226999999994</v>
      </c>
      <c r="K127" s="342">
        <f>IFERROR(IF(B127="","",_xlfn.LET(_xlpm.clave_prof,B127&amp;"|"&amp;E127,_xlpm.clave_todas,B127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27" s="75">
        <f>IFERROR(IF(B127="","",IF(I127="",0,I127)+IF(J127="",0,J127)+IF(K127="",0,K127)),"")</f>
        <v>697.99226999999996</v>
      </c>
      <c r="M127" s="75">
        <f>IFERROR(IF(L127="","",L127*$D$8),"")</f>
        <v>872.4903374999999</v>
      </c>
      <c r="N127" s="76">
        <f>IFERROR(IF(M127="","",CEILING(M127,50)),"")</f>
        <v>900</v>
      </c>
      <c r="O127" s="77">
        <v>0</v>
      </c>
      <c r="P127" s="78">
        <f>IFERROR(IF(G127="","",G127*N127*(1-O127)),"")</f>
        <v>900</v>
      </c>
      <c r="Q127" s="79"/>
    </row>
    <row r="128" spans="1:17" ht="19.5" customHeight="1" x14ac:dyDescent="0.2">
      <c r="A128" s="72" t="s">
        <v>1642</v>
      </c>
      <c r="B128" s="69" t="s">
        <v>1623</v>
      </c>
      <c r="C128" s="69">
        <v>33</v>
      </c>
      <c r="D128" s="69">
        <v>100</v>
      </c>
      <c r="E128" s="69" t="s">
        <v>97</v>
      </c>
      <c r="F128" s="69" t="s">
        <v>178</v>
      </c>
      <c r="G128" s="69">
        <v>5</v>
      </c>
      <c r="H128" s="73">
        <f>IFERROR(IF(B128="","",(C128/100)*(D128/100)),"")</f>
        <v>0.33</v>
      </c>
      <c r="I128" s="74">
        <f>IFERROR(IF(B128="","",_xlfn.LET(_xlpm.tamano,IF(H128&lt;=0.5,"CHICO",IF(H128&lt;=1,"MEDIANO","GRANDE")),_xlpm.clave,B128&amp;"|"&amp;_xlpm.tamano,_xlpm.fila,MATCH(_xlpm.clave,COSTOS_M2!$H$5:$H$67,0),_xlpm.mat_m2,INDEX(IF(F128="HUANACAXTLE",COSTOS_M2!$D$5:$D$67,IF(F128="ENCINO",COSTOS_M2!$E$5:$E$67,COSTOS_M2!$F$5:$F$67)),_xlpm.fila),_xlpm.cons_m2,INDEX(COSTOS_M2!$G$5:$G$67,_xlpm.fila),_xlpm.prof_factor,IF(AND(E128&lt;&gt;"—",E128&lt;&gt;"",ISNUMBER(E128)),POWER(E128/40,1.8),1),_xlpm.total_m2,(_xlpm.mat_m2+_xlpm.cons_m2)*H128*_xlpm.prof_factor*IF(C128&gt;70,COSTOS_M2!$B$70,1)*IF(D128&gt;244,COSTOS_M2!$B$71,1),_xlpm.total_m2)),"")</f>
        <v>275.55</v>
      </c>
      <c r="J128" s="74">
        <f>IFERROR(IF(B128="","",INDEX(MANO_DE_OBRA!$P$10:$P$72,MATCH(B128&amp;"|"&amp;IF(H128&lt;=0.5,"CHICO",IF(H128&lt;=1,"MEDIANO","GRANDE")),MANO_DE_OBRA!$Q$10:$Q$72,0))),"")</f>
        <v>265.80149999999998</v>
      </c>
      <c r="K128" s="342">
        <f>IFERROR(IF(B128="","",_xlfn.LET(_xlpm.clave_prof,B128&amp;"|"&amp;E128,_xlpm.clave_todas,B128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28" s="75">
        <f>IFERROR(IF(B128="","",IF(I128="",0,I128)+IF(J128="",0,J128)+IF(K128="",0,K128)),"")</f>
        <v>541.35149999999999</v>
      </c>
      <c r="M128" s="75">
        <f>IFERROR(IF(L128="","",L128*$D$8),"")</f>
        <v>676.68937499999993</v>
      </c>
      <c r="N128" s="76">
        <f>IFERROR(IF(M128="","",CEILING(M128,50)),"")</f>
        <v>700</v>
      </c>
      <c r="O128" s="77">
        <v>0</v>
      </c>
      <c r="P128" s="78">
        <f>IFERROR(IF(G128="","",G128*N128*(1-O128)),"")</f>
        <v>3500</v>
      </c>
      <c r="Q128" s="79"/>
    </row>
    <row r="129" spans="1:17" ht="19.5" customHeight="1" x14ac:dyDescent="0.2">
      <c r="A129" s="72" t="s">
        <v>1642</v>
      </c>
      <c r="B129" s="69" t="s">
        <v>1628</v>
      </c>
      <c r="C129" s="69">
        <v>464</v>
      </c>
      <c r="D129" s="69">
        <v>220</v>
      </c>
      <c r="E129" s="69" t="s">
        <v>97</v>
      </c>
      <c r="F129" s="69" t="s">
        <v>178</v>
      </c>
      <c r="G129" s="69">
        <v>1</v>
      </c>
      <c r="H129" s="73">
        <f>IFERROR(IF(B129="","",(C129/100)*(D129/100)),"")</f>
        <v>10.208</v>
      </c>
      <c r="I129" s="74">
        <f>IFERROR(IF(B129="","",_xlfn.LET(_xlpm.tamano,IF(H129&lt;=0.5,"CHICO",IF(H129&lt;=1,"MEDIANO","GRANDE")),_xlpm.clave,B129&amp;"|"&amp;_xlpm.tamano,_xlpm.fila,MATCH(_xlpm.clave,COSTOS_M2!$H$5:$H$67,0),_xlpm.mat_m2,INDEX(IF(F129="HUANACAXTLE",COSTOS_M2!$D$5:$D$67,IF(F129="ENCINO",COSTOS_M2!$E$5:$E$67,COSTOS_M2!$F$5:$F$67)),_xlpm.fila),_xlpm.cons_m2,INDEX(COSTOS_M2!$G$5:$G$67,_xlpm.fila),_xlpm.prof_factor,IF(AND(E129&lt;&gt;"—",E129&lt;&gt;"",ISNUMBER(E129)),POWER(E129/40,1.8),1),_xlpm.total_m2,(_xlpm.mat_m2+_xlpm.cons_m2)*H129*_xlpm.prof_factor*IF(C129&gt;70,COSTOS_M2!$B$70,1)*IF(D129&gt;244,COSTOS_M2!$B$71,1),_xlpm.total_m2)),"")</f>
        <v>3118.5440000000003</v>
      </c>
      <c r="J129" s="74">
        <f>IFERROR(IF(B129="","",INDEX(MANO_DE_OBRA!$P$10:$P$72,MATCH(B129&amp;"|"&amp;IF(H129&lt;=0.5,"CHICO",IF(H129&lt;=1,"MEDIANO","GRANDE")),MANO_DE_OBRA!$Q$10:$Q$72,0))),"")</f>
        <v>295.7955</v>
      </c>
      <c r="K129" s="342">
        <f>IFERROR(IF(B129="","",_xlfn.LET(_xlpm.clave_prof,B129&amp;"|"&amp;E129,_xlpm.clave_todas,B129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29" s="75">
        <f>IFERROR(IF(B129="","",IF(I129="",0,I129)+IF(J129="",0,J129)+IF(K129="",0,K129)),"")</f>
        <v>3414.3395000000005</v>
      </c>
      <c r="M129" s="75">
        <f>IFERROR(IF(L129="","",L129*$D$8),"")</f>
        <v>4267.9243750000005</v>
      </c>
      <c r="N129" s="76">
        <f>IFERROR(IF(M129="","",CEILING(M129,50)),"")</f>
        <v>4300</v>
      </c>
      <c r="O129" s="77">
        <v>0</v>
      </c>
      <c r="P129" s="78">
        <f>IFERROR(IF(G129="","",G129*N129*(1-O129)),"")</f>
        <v>4300</v>
      </c>
      <c r="Q129" s="79"/>
    </row>
    <row r="130" spans="1:17" ht="19.5" customHeight="1" x14ac:dyDescent="0.2">
      <c r="A130" s="72" t="s">
        <v>1642</v>
      </c>
      <c r="B130" s="69" t="s">
        <v>1627</v>
      </c>
      <c r="C130" s="69">
        <v>5</v>
      </c>
      <c r="D130" s="69">
        <v>470</v>
      </c>
      <c r="E130" s="69" t="s">
        <v>97</v>
      </c>
      <c r="F130" s="69" t="s">
        <v>178</v>
      </c>
      <c r="G130" s="69">
        <v>1</v>
      </c>
      <c r="H130" s="73">
        <f>IFERROR(IF(B130="","",(C130/100)*(D130/100)),"")</f>
        <v>0.23500000000000001</v>
      </c>
      <c r="I130" s="74">
        <f>IFERROR(IF(B130="","",_xlfn.LET(_xlpm.tamano,IF(H130&lt;=0.5,"CHICO",IF(H130&lt;=1,"MEDIANO","GRANDE")),_xlpm.clave,B130&amp;"|"&amp;_xlpm.tamano,_xlpm.fila,MATCH(_xlpm.clave,COSTOS_M2!$H$5:$H$67,0),_xlpm.mat_m2,INDEX(IF(F130="HUANACAXTLE",COSTOS_M2!$D$5:$D$67,IF(F130="ENCINO",COSTOS_M2!$E$5:$E$67,COSTOS_M2!$F$5:$F$67)),_xlpm.fila),_xlpm.cons_m2,INDEX(COSTOS_M2!$G$5:$G$67,_xlpm.fila),_xlpm.prof_factor,IF(AND(E130&lt;&gt;"—",E130&lt;&gt;"",ISNUMBER(E130)),POWER(E130/40,1.8),1),_xlpm.total_m2,(_xlpm.mat_m2+_xlpm.cons_m2)*H130*_xlpm.prof_factor*IF(C130&gt;70,COSTOS_M2!$B$70,1)*IF(D130&gt;244,COSTOS_M2!$B$71,1),_xlpm.total_m2)),"")</f>
        <v>4613.05</v>
      </c>
      <c r="J130" s="74">
        <f>IFERROR(IF(B130="","",INDEX(MANO_DE_OBRA!$P$10:$P$72,MATCH(B130&amp;"|"&amp;IF(H130&lt;=0.5,"CHICO",IF(H130&lt;=1,"MEDIANO","GRANDE")),MANO_DE_OBRA!$Q$10:$Q$72,0))),"")</f>
        <v>679.06049999999993</v>
      </c>
      <c r="K130" s="342">
        <f>IFERROR(IF(B130="","",_xlfn.LET(_xlpm.clave_prof,B130&amp;"|"&amp;E130,_xlpm.clave_todas,B130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30" s="75">
        <f>IFERROR(IF(B130="","",IF(I130="",0,I130)+IF(J130="",0,J130)+IF(K130="",0,K130)),"")</f>
        <v>5292.1104999999998</v>
      </c>
      <c r="M130" s="75">
        <f>IFERROR(IF(L130="","",L130*$D$8),"")</f>
        <v>6615.1381249999995</v>
      </c>
      <c r="N130" s="76">
        <f>IFERROR(IF(M130="","",CEILING(M130,50)),"")</f>
        <v>6650</v>
      </c>
      <c r="O130" s="77">
        <v>0</v>
      </c>
      <c r="P130" s="78">
        <f>IFERROR(IF(G130="","",G130*N130*(1-O130)),"")</f>
        <v>6650</v>
      </c>
      <c r="Q130" s="79"/>
    </row>
    <row r="131" spans="1:17" ht="19.5" customHeight="1" x14ac:dyDescent="0.2">
      <c r="A131" s="72" t="s">
        <v>1643</v>
      </c>
      <c r="B131" s="69" t="s">
        <v>195</v>
      </c>
      <c r="C131" s="69">
        <v>55</v>
      </c>
      <c r="D131" s="69">
        <v>200</v>
      </c>
      <c r="E131" s="69" t="s">
        <v>97</v>
      </c>
      <c r="F131" s="69" t="s">
        <v>178</v>
      </c>
      <c r="G131" s="69">
        <v>1</v>
      </c>
      <c r="H131" s="73">
        <f>IFERROR(IF(B131="","",(C131/100)*(D131/100)),"")</f>
        <v>1.1000000000000001</v>
      </c>
      <c r="I131" s="74">
        <f>IFERROR(IF(B131="","",_xlfn.LET(_xlpm.tamano,IF(H131&lt;=0.5,"CHICO",IF(H131&lt;=1,"MEDIANO","GRANDE")),_xlpm.clave,B131&amp;"|"&amp;_xlpm.tamano,_xlpm.fila,MATCH(_xlpm.clave,COSTOS_M2!$H$5:$H$67,0),_xlpm.mat_m2,INDEX(IF(F131="HUANACAXTLE",COSTOS_M2!$D$5:$D$67,IF(F131="ENCINO",COSTOS_M2!$E$5:$E$67,COSTOS_M2!$F$5:$F$67)),_xlpm.fila),_xlpm.cons_m2,INDEX(COSTOS_M2!$G$5:$G$67,_xlpm.fila),_xlpm.prof_factor,IF(AND(E131&lt;&gt;"—",E131&lt;&gt;"",ISNUMBER(E131)),POWER(E131/40,1.8),1),_xlpm.total_m2,(_xlpm.mat_m2+_xlpm.cons_m2)*H131*_xlpm.prof_factor*IF(C131&gt;70,COSTOS_M2!$B$70,1)*IF(D131&gt;244,COSTOS_M2!$B$71,1),_xlpm.total_m2)),"")</f>
        <v>740.30000000000007</v>
      </c>
      <c r="J131" s="74">
        <f>IFERROR(IF(B131="","",INDEX(MANO_DE_OBRA!$P$10:$P$72,MATCH(B131&amp;"|"&amp;IF(H131&lt;=0.5,"CHICO",IF(H131&lt;=1,"MEDIANO","GRANDE")),MANO_DE_OBRA!$Q$10:$Q$72,0))),"")</f>
        <v>614.34549000000015</v>
      </c>
      <c r="K131" s="342">
        <f>IFERROR(IF(B131="","",_xlfn.LET(_xlpm.clave_prof,B131&amp;"|"&amp;E131,_xlpm.clave_todas,B131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31" s="75">
        <f>IFERROR(IF(B131="","",IF(I131="",0,I131)+IF(J131="",0,J131)+IF(K131="",0,K131)),"")</f>
        <v>1354.6454900000003</v>
      </c>
      <c r="M131" s="75">
        <f>IFERROR(IF(L131="","",L131*$D$8),"")</f>
        <v>1693.3068625000005</v>
      </c>
      <c r="N131" s="76">
        <f>IFERROR(IF(M131="","",CEILING(M131,50)),"")</f>
        <v>1700</v>
      </c>
      <c r="O131" s="77">
        <v>0</v>
      </c>
      <c r="P131" s="78">
        <f>IFERROR(IF(G131="","",G131*N131*(1-O131)),"")</f>
        <v>1700</v>
      </c>
      <c r="Q131" s="79"/>
    </row>
    <row r="132" spans="1:17" ht="19.5" customHeight="1" x14ac:dyDescent="0.2">
      <c r="A132" s="72" t="s">
        <v>1643</v>
      </c>
      <c r="B132" s="69" t="s">
        <v>196</v>
      </c>
      <c r="C132" s="69">
        <v>55</v>
      </c>
      <c r="D132" s="69">
        <v>200</v>
      </c>
      <c r="E132" s="69" t="s">
        <v>97</v>
      </c>
      <c r="F132" s="69" t="s">
        <v>178</v>
      </c>
      <c r="G132" s="69">
        <v>1</v>
      </c>
      <c r="H132" s="73">
        <f>IFERROR(IF(B132="","",(C132/100)*(D132/100)),"")</f>
        <v>1.1000000000000001</v>
      </c>
      <c r="I132" s="74">
        <f>IFERROR(IF(B132="","",_xlfn.LET(_xlpm.tamano,IF(H132&lt;=0.5,"CHICO",IF(H132&lt;=1,"MEDIANO","GRANDE")),_xlpm.clave,B132&amp;"|"&amp;_xlpm.tamano,_xlpm.fila,MATCH(_xlpm.clave,COSTOS_M2!$H$5:$H$67,0),_xlpm.mat_m2,INDEX(IF(F132="HUANACAXTLE",COSTOS_M2!$D$5:$D$67,IF(F132="ENCINO",COSTOS_M2!$E$5:$E$67,COSTOS_M2!$F$5:$F$67)),_xlpm.fila),_xlpm.cons_m2,INDEX(COSTOS_M2!$G$5:$G$67,_xlpm.fila),_xlpm.prof_factor,IF(AND(E132&lt;&gt;"—",E132&lt;&gt;"",ISNUMBER(E132)),POWER(E132/40,1.8),1),_xlpm.total_m2,(_xlpm.mat_m2+_xlpm.cons_m2)*H132*_xlpm.prof_factor*IF(C132&gt;70,COSTOS_M2!$B$70,1)*IF(D132&gt;244,COSTOS_M2!$B$71,1),_xlpm.total_m2)),"")</f>
        <v>888.80000000000007</v>
      </c>
      <c r="J132" s="74">
        <f>IFERROR(IF(B132="","",INDEX(MANO_DE_OBRA!$P$10:$P$72,MATCH(B132&amp;"|"&amp;IF(H132&lt;=0.5,"CHICO",IF(H132&lt;=1,"MEDIANO","GRANDE")),MANO_DE_OBRA!$Q$10:$Q$72,0))),"")</f>
        <v>762.95904000000007</v>
      </c>
      <c r="K132" s="342">
        <f>IFERROR(IF(B132="","",_xlfn.LET(_xlpm.clave_prof,B132&amp;"|"&amp;E132,_xlpm.clave_todas,B132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32" s="75">
        <f>IFERROR(IF(B132="","",IF(I132="",0,I132)+IF(J132="",0,J132)+IF(K132="",0,K132)),"")</f>
        <v>1651.7590400000001</v>
      </c>
      <c r="M132" s="75">
        <f>IFERROR(IF(L132="","",L132*$D$8),"")</f>
        <v>2064.6988000000001</v>
      </c>
      <c r="N132" s="76">
        <f>IFERROR(IF(M132="","",CEILING(M132,50)),"")</f>
        <v>2100</v>
      </c>
      <c r="O132" s="77">
        <v>0</v>
      </c>
      <c r="P132" s="78">
        <f>IFERROR(IF(G132="","",G132*N132*(1-O132)),"")</f>
        <v>2100</v>
      </c>
      <c r="Q132" s="79"/>
    </row>
    <row r="133" spans="1:17" ht="19.5" customHeight="1" x14ac:dyDescent="0.2">
      <c r="A133" s="72" t="s">
        <v>1643</v>
      </c>
      <c r="B133" s="69" t="s">
        <v>193</v>
      </c>
      <c r="C133" s="69">
        <v>55</v>
      </c>
      <c r="D133" s="69">
        <v>240</v>
      </c>
      <c r="E133" s="69" t="s">
        <v>97</v>
      </c>
      <c r="F133" s="69" t="s">
        <v>178</v>
      </c>
      <c r="G133" s="69">
        <v>3</v>
      </c>
      <c r="H133" s="73">
        <f>IFERROR(IF(B133="","",(C133/100)*(D133/100)),"")</f>
        <v>1.32</v>
      </c>
      <c r="I133" s="74">
        <f>IFERROR(IF(B133="","",_xlfn.LET(_xlpm.tamano,IF(H133&lt;=0.5,"CHICO",IF(H133&lt;=1,"MEDIANO","GRANDE")),_xlpm.clave,B133&amp;"|"&amp;_xlpm.tamano,_xlpm.fila,MATCH(_xlpm.clave,COSTOS_M2!$H$5:$H$67,0),_xlpm.mat_m2,INDEX(IF(F133="HUANACAXTLE",COSTOS_M2!$D$5:$D$67,IF(F133="ENCINO",COSTOS_M2!$E$5:$E$67,COSTOS_M2!$F$5:$F$67)),_xlpm.fila),_xlpm.cons_m2,INDEX(COSTOS_M2!$G$5:$G$67,_xlpm.fila),_xlpm.prof_factor,IF(AND(E133&lt;&gt;"—",E133&lt;&gt;"",ISNUMBER(E133)),POWER(E133/40,1.8),1),_xlpm.total_m2,(_xlpm.mat_m2+_xlpm.cons_m2)*H133*_xlpm.prof_factor*IF(C133&gt;70,COSTOS_M2!$B$70,1)*IF(D133&gt;244,COSTOS_M2!$B$71,1),_xlpm.total_m2)),"")</f>
        <v>1495.5600000000002</v>
      </c>
      <c r="J133" s="74">
        <f>IFERROR(IF(B133="","",INDEX(MANO_DE_OBRA!$P$10:$P$72,MATCH(B133&amp;"|"&amp;IF(H133&lt;=0.5,"CHICO",IF(H133&lt;=1,"MEDIANO","GRANDE")),MANO_DE_OBRA!$Q$10:$Q$72,0))),"")</f>
        <v>751.15698000000009</v>
      </c>
      <c r="K133" s="342">
        <f>IFERROR(IF(B133="","",_xlfn.LET(_xlpm.clave_prof,B133&amp;"|"&amp;E133,_xlpm.clave_todas,B133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33" s="75">
        <f>IFERROR(IF(B133="","",IF(I133="",0,I133)+IF(J133="",0,J133)+IF(K133="",0,K133)),"")</f>
        <v>2246.7169800000001</v>
      </c>
      <c r="M133" s="75">
        <f>IFERROR(IF(L133="","",L133*$D$8),"")</f>
        <v>2808.3962250000004</v>
      </c>
      <c r="N133" s="76">
        <f>IFERROR(IF(M133="","",CEILING(M133,50)),"")</f>
        <v>2850</v>
      </c>
      <c r="O133" s="77">
        <v>0</v>
      </c>
      <c r="P133" s="78">
        <f>IFERROR(IF(G133="","",G133*N133*(1-O133)),"")</f>
        <v>8550</v>
      </c>
      <c r="Q133" s="79"/>
    </row>
    <row r="134" spans="1:17" ht="19.5" customHeight="1" x14ac:dyDescent="0.2">
      <c r="A134" s="72" t="s">
        <v>1643</v>
      </c>
      <c r="B134" s="69" t="s">
        <v>1622</v>
      </c>
      <c r="C134" s="69">
        <v>55</v>
      </c>
      <c r="D134" s="69">
        <v>150</v>
      </c>
      <c r="E134" s="69" t="s">
        <v>97</v>
      </c>
      <c r="F134" s="69" t="s">
        <v>178</v>
      </c>
      <c r="G134" s="69">
        <v>1</v>
      </c>
      <c r="H134" s="73">
        <f>IFERROR(IF(B134="","",(C134/100)*(D134/100)),"")</f>
        <v>0.82500000000000007</v>
      </c>
      <c r="I134" s="74">
        <f>IFERROR(IF(B134="","",_xlfn.LET(_xlpm.tamano,IF(H134&lt;=0.5,"CHICO",IF(H134&lt;=1,"MEDIANO","GRANDE")),_xlpm.clave,B134&amp;"|"&amp;_xlpm.tamano,_xlpm.fila,MATCH(_xlpm.clave,COSTOS_M2!$H$5:$H$67,0),_xlpm.mat_m2,INDEX(IF(F134="HUANACAXTLE",COSTOS_M2!$D$5:$D$67,IF(F134="ENCINO",COSTOS_M2!$E$5:$E$67,COSTOS_M2!$F$5:$F$67)),_xlpm.fila),_xlpm.cons_m2,INDEX(COSTOS_M2!$G$5:$G$67,_xlpm.fila),_xlpm.prof_factor,IF(AND(E134&lt;&gt;"—",E134&lt;&gt;"",ISNUMBER(E134)),POWER(E134/40,1.8),1),_xlpm.total_m2,(_xlpm.mat_m2+_xlpm.cons_m2)*H134*_xlpm.prof_factor*IF(C134&gt;70,COSTOS_M2!$B$70,1)*IF(D134&gt;244,COSTOS_M2!$B$71,1),_xlpm.total_m2)),"")</f>
        <v>647.625</v>
      </c>
      <c r="J134" s="74">
        <f>IFERROR(IF(B134="","",INDEX(MANO_DE_OBRA!$P$10:$P$72,MATCH(B134&amp;"|"&amp;IF(H134&lt;=0.5,"CHICO",IF(H134&lt;=1,"MEDIANO","GRANDE")),MANO_DE_OBRA!$Q$10:$Q$72,0))),"")</f>
        <v>558.22199999999987</v>
      </c>
      <c r="K134" s="342">
        <f>IFERROR(IF(B134="","",_xlfn.LET(_xlpm.clave_prof,B134&amp;"|"&amp;E134,_xlpm.clave_todas,B134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34" s="75">
        <f>IFERROR(IF(B134="","",IF(I134="",0,I134)+IF(J134="",0,J134)+IF(K134="",0,K134)),"")</f>
        <v>1205.8469999999998</v>
      </c>
      <c r="M134" s="75">
        <f>IFERROR(IF(L134="","",L134*$D$8),"")</f>
        <v>1507.3087499999997</v>
      </c>
      <c r="N134" s="76">
        <f>IFERROR(IF(M134="","",CEILING(M134,50)),"")</f>
        <v>1550</v>
      </c>
      <c r="O134" s="77">
        <v>0</v>
      </c>
      <c r="P134" s="78">
        <f>IFERROR(IF(G134="","",G134*N134*(1-O134)),"")</f>
        <v>1550</v>
      </c>
      <c r="Q134" s="79"/>
    </row>
    <row r="135" spans="1:17" ht="19.5" customHeight="1" x14ac:dyDescent="0.2">
      <c r="A135" s="72" t="s">
        <v>1643</v>
      </c>
      <c r="B135" s="69" t="s">
        <v>1623</v>
      </c>
      <c r="C135" s="69">
        <v>55</v>
      </c>
      <c r="D135" s="69">
        <v>91</v>
      </c>
      <c r="E135" s="69" t="s">
        <v>97</v>
      </c>
      <c r="F135" s="69" t="s">
        <v>178</v>
      </c>
      <c r="G135" s="69">
        <v>5</v>
      </c>
      <c r="H135" s="73">
        <f>IFERROR(IF(B135="","",(C135/100)*(D135/100)),"")</f>
        <v>0.50050000000000006</v>
      </c>
      <c r="I135" s="74">
        <f>IFERROR(IF(B135="","",_xlfn.LET(_xlpm.tamano,IF(H135&lt;=0.5,"CHICO",IF(H135&lt;=1,"MEDIANO","GRANDE")),_xlpm.clave,B135&amp;"|"&amp;_xlpm.tamano,_xlpm.fila,MATCH(_xlpm.clave,COSTOS_M2!$H$5:$H$67,0),_xlpm.mat_m2,INDEX(IF(F135="HUANACAXTLE",COSTOS_M2!$D$5:$D$67,IF(F135="ENCINO",COSTOS_M2!$E$5:$E$67,COSTOS_M2!$F$5:$F$67)),_xlpm.fila),_xlpm.cons_m2,INDEX(COSTOS_M2!$G$5:$G$67,_xlpm.fila),_xlpm.prof_factor,IF(AND(E135&lt;&gt;"—",E135&lt;&gt;"",ISNUMBER(E135)),POWER(E135/40,1.8),1),_xlpm.total_m2,(_xlpm.mat_m2+_xlpm.cons_m2)*H135*_xlpm.prof_factor*IF(C135&gt;70,COSTOS_M2!$B$70,1)*IF(D135&gt;244,COSTOS_M2!$B$71,1),_xlpm.total_m2)),"")</f>
        <v>392.89250000000004</v>
      </c>
      <c r="J135" s="74">
        <f>IFERROR(IF(B135="","",INDEX(MANO_DE_OBRA!$P$10:$P$72,MATCH(B135&amp;"|"&amp;IF(H135&lt;=0.5,"CHICO",IF(H135&lt;=1,"MEDIANO","GRANDE")),MANO_DE_OBRA!$Q$10:$Q$72,0))),"")</f>
        <v>400.55880000000002</v>
      </c>
      <c r="K135" s="342">
        <f>IFERROR(IF(B135="","",_xlfn.LET(_xlpm.clave_prof,B135&amp;"|"&amp;E135,_xlpm.clave_todas,B135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35" s="75">
        <f>IFERROR(IF(B135="","",IF(I135="",0,I135)+IF(J135="",0,J135)+IF(K135="",0,K135)),"")</f>
        <v>793.45130000000006</v>
      </c>
      <c r="M135" s="75">
        <f>IFERROR(IF(L135="","",L135*$D$8),"")</f>
        <v>991.8141250000001</v>
      </c>
      <c r="N135" s="76">
        <f>IFERROR(IF(M135="","",CEILING(M135,50)),"")</f>
        <v>1000</v>
      </c>
      <c r="O135" s="77">
        <v>0</v>
      </c>
      <c r="P135" s="78">
        <f>IFERROR(IF(G135="","",G135*N135*(1-O135)),"")</f>
        <v>5000</v>
      </c>
      <c r="Q135" s="79"/>
    </row>
    <row r="136" spans="1:17" ht="19.5" customHeight="1" x14ac:dyDescent="0.2">
      <c r="A136" s="72" t="s">
        <v>1643</v>
      </c>
      <c r="B136" s="69" t="s">
        <v>1623</v>
      </c>
      <c r="C136" s="69">
        <v>55</v>
      </c>
      <c r="D136" s="69">
        <v>46</v>
      </c>
      <c r="E136" s="69" t="s">
        <v>97</v>
      </c>
      <c r="F136" s="69" t="s">
        <v>178</v>
      </c>
      <c r="G136" s="69">
        <v>8</v>
      </c>
      <c r="H136" s="73">
        <f>IFERROR(IF(B136="","",(C136/100)*(D136/100)),"")</f>
        <v>0.25300000000000006</v>
      </c>
      <c r="I136" s="74">
        <f>IFERROR(IF(B136="","",_xlfn.LET(_xlpm.tamano,IF(H136&lt;=0.5,"CHICO",IF(H136&lt;=1,"MEDIANO","GRANDE")),_xlpm.clave,B136&amp;"|"&amp;_xlpm.tamano,_xlpm.fila,MATCH(_xlpm.clave,COSTOS_M2!$H$5:$H$67,0),_xlpm.mat_m2,INDEX(IF(F136="HUANACAXTLE",COSTOS_M2!$D$5:$D$67,IF(F136="ENCINO",COSTOS_M2!$E$5:$E$67,COSTOS_M2!$F$5:$F$67)),_xlpm.fila),_xlpm.cons_m2,INDEX(COSTOS_M2!$G$5:$G$67,_xlpm.fila),_xlpm.prof_factor,IF(AND(E136&lt;&gt;"—",E136&lt;&gt;"",ISNUMBER(E136)),POWER(E136/40,1.8),1),_xlpm.total_m2,(_xlpm.mat_m2+_xlpm.cons_m2)*H136*_xlpm.prof_factor*IF(C136&gt;70,COSTOS_M2!$B$70,1)*IF(D136&gt;244,COSTOS_M2!$B$71,1),_xlpm.total_m2)),"")</f>
        <v>211.25500000000005</v>
      </c>
      <c r="J136" s="74">
        <f>IFERROR(IF(B136="","",INDEX(MANO_DE_OBRA!$P$10:$P$72,MATCH(B136&amp;"|"&amp;IF(H136&lt;=0.5,"CHICO",IF(H136&lt;=1,"MEDIANO","GRANDE")),MANO_DE_OBRA!$Q$10:$Q$72,0))),"")</f>
        <v>265.80149999999998</v>
      </c>
      <c r="K136" s="342">
        <f>IFERROR(IF(B136="","",_xlfn.LET(_xlpm.clave_prof,B136&amp;"|"&amp;E136,_xlpm.clave_todas,B136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36" s="75">
        <f>IFERROR(IF(B136="","",IF(I136="",0,I136)+IF(J136="",0,J136)+IF(K136="",0,K136)),"")</f>
        <v>477.05650000000003</v>
      </c>
      <c r="M136" s="75">
        <f>IFERROR(IF(L136="","",L136*$D$8),"")</f>
        <v>596.32062500000006</v>
      </c>
      <c r="N136" s="76">
        <f>IFERROR(IF(M136="","",CEILING(M136,50)),"")</f>
        <v>600</v>
      </c>
      <c r="O136" s="77">
        <v>0</v>
      </c>
      <c r="P136" s="78">
        <f>IFERROR(IF(G136="","",G136*N136*(1-O136)),"")</f>
        <v>4800</v>
      </c>
      <c r="Q136" s="79"/>
    </row>
    <row r="137" spans="1:17" ht="19.5" customHeight="1" x14ac:dyDescent="0.2">
      <c r="A137" s="72" t="s">
        <v>1643</v>
      </c>
      <c r="B137" s="69" t="s">
        <v>199</v>
      </c>
      <c r="C137" s="69">
        <v>95</v>
      </c>
      <c r="D137" s="69">
        <v>22</v>
      </c>
      <c r="E137" s="69">
        <v>55</v>
      </c>
      <c r="F137" s="69" t="s">
        <v>178</v>
      </c>
      <c r="G137" s="69">
        <v>4</v>
      </c>
      <c r="H137" s="73">
        <f>IFERROR(IF(B137="","",(C137/100)*(D137/100)),"")</f>
        <v>0.20899999999999999</v>
      </c>
      <c r="I137" s="74">
        <f>IFERROR(IF(B137="","",_xlfn.LET(_xlpm.tamano,IF(H137&lt;=0.5,"CHICO",IF(H137&lt;=1,"MEDIANO","GRANDE")),_xlpm.clave,B137&amp;"|"&amp;_xlpm.tamano,_xlpm.fila,MATCH(_xlpm.clave,COSTOS_M2!$H$5:$H$67,0),_xlpm.mat_m2,INDEX(IF(F137="HUANACAXTLE",COSTOS_M2!$D$5:$D$67,IF(F137="ENCINO",COSTOS_M2!$E$5:$E$67,COSTOS_M2!$F$5:$F$67)),_xlpm.fila),_xlpm.cons_m2,INDEX(COSTOS_M2!$G$5:$G$67,_xlpm.fila),_xlpm.prof_factor,IF(AND(E137&lt;&gt;"—",E137&lt;&gt;"",ISNUMBER(E137)),POWER(E137/40,1.8),1),_xlpm.total_m2,(_xlpm.mat_m2+_xlpm.cons_m2)*H137*_xlpm.prof_factor*IF(C137&gt;70,COSTOS_M2!$B$70,1)*IF(D137&gt;244,COSTOS_M2!$B$71,1),_xlpm.total_m2)),"")</f>
        <v>641.04148542570636</v>
      </c>
      <c r="J137" s="74">
        <f>IFERROR(IF(B137="","",INDEX(MANO_DE_OBRA!$P$10:$P$72,MATCH(B137&amp;"|"&amp;IF(H137&lt;=0.5,"CHICO",IF(H137&lt;=1,"MEDIANO","GRANDE")),MANO_DE_OBRA!$Q$10:$Q$72,0))),"")</f>
        <v>434.36213400000003</v>
      </c>
      <c r="K137" s="342">
        <f>IFERROR(IF(B137="","",_xlfn.LET(_xlpm.clave_prof,B137&amp;"|"&amp;E137,_xlpm.clave_todas,B137&amp;"|TODAS",_xlpm.herr_prof,SUMIFS(HERRAJES!$H$5:$H$36,HERRAJES!$J$5:$J$36,_xlpm.clave_prof),_xlpm.herr_todas,SUMIFS(HERRAJES!$H$5:$H$36,HERRAJES!$J$5:$J$36,_xlpm.clave_todas),IF(_xlpm.herr_prof&gt;0,_xlpm.herr_prof,_xlpm.herr_todas))),"")</f>
        <v>50.52</v>
      </c>
      <c r="L137" s="75">
        <f>IFERROR(IF(B137="","",IF(I137="",0,I137)+IF(J137="",0,J137)+IF(K137="",0,K137)),"")</f>
        <v>1125.9236194257064</v>
      </c>
      <c r="M137" s="75">
        <f>IFERROR(IF(L137="","",L137*$D$8),"")</f>
        <v>1407.404524282133</v>
      </c>
      <c r="N137" s="76">
        <f>IFERROR(IF(M137="","",CEILING(M137,50)),"")</f>
        <v>1450</v>
      </c>
      <c r="O137" s="77">
        <v>0</v>
      </c>
      <c r="P137" s="78">
        <f>IFERROR(IF(G137="","",G137*N137*(1-O137)),"")</f>
        <v>5800</v>
      </c>
      <c r="Q137" s="79"/>
    </row>
    <row r="138" spans="1:17" ht="19.5" customHeight="1" x14ac:dyDescent="0.2">
      <c r="A138" s="72" t="s">
        <v>1643</v>
      </c>
      <c r="B138" s="432" t="s">
        <v>1650</v>
      </c>
      <c r="C138" s="69"/>
      <c r="D138" s="69"/>
      <c r="E138" s="69" t="s">
        <v>97</v>
      </c>
      <c r="F138" s="69"/>
      <c r="G138" s="69"/>
      <c r="H138" s="73">
        <f>IFERROR(IF(B138="","",(C138/100)*(D138/100)),"")</f>
        <v>0</v>
      </c>
      <c r="I138" s="74" t="str">
        <f>IFERROR(IF(B138="","",_xlfn.LET(_xlpm.tamano,IF(H138&lt;=0.5,"CHICO",IF(H138&lt;=1,"MEDIANO","GRANDE")),_xlpm.clave,B138&amp;"|"&amp;_xlpm.tamano,_xlpm.fila,MATCH(_xlpm.clave,COSTOS_M2!$H$5:$H$67,0),_xlpm.mat_m2,INDEX(IF(F138="HUANACAXTLE",COSTOS_M2!$D$5:$D$67,IF(F138="ENCINO",COSTOS_M2!$E$5:$E$67,COSTOS_M2!$F$5:$F$67)),_xlpm.fila),_xlpm.cons_m2,INDEX(COSTOS_M2!$G$5:$G$67,_xlpm.fila),_xlpm.prof_factor,IF(AND(E138&lt;&gt;"—",E138&lt;&gt;"",ISNUMBER(E138)),POWER(E138/40,1.8),1),_xlpm.total_m2,(_xlpm.mat_m2+_xlpm.cons_m2)*H138*_xlpm.prof_factor*IF(C138&gt;70,COSTOS_M2!$B$70,1)*IF(D138&gt;244,COSTOS_M2!$B$71,1),_xlpm.total_m2)),"")</f>
        <v/>
      </c>
      <c r="J138" s="74" t="str">
        <f>IFERROR(IF(B138="","",INDEX(MANO_DE_OBRA!$P$10:$P$72,MATCH(B138&amp;"|"&amp;IF(H138&lt;=0.5,"CHICO",IF(H138&lt;=1,"MEDIANO","GRANDE")),MANO_DE_OBRA!$Q$10:$Q$72,0))),"")</f>
        <v/>
      </c>
      <c r="K138" s="342">
        <f>IFERROR(IF(B138="","",_xlfn.LET(_xlpm.clave_prof,B138&amp;"|"&amp;E138,_xlpm.clave_todas,B138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38" s="75">
        <f>IFERROR(IF(B138="","",IF(I138="",0,I138)+IF(J138="",0,J138)+IF(K138="",0,K138)),"")</f>
        <v>0</v>
      </c>
      <c r="M138" s="75">
        <f>IFERROR(IF(L138="","",L138*$D$8),"")</f>
        <v>0</v>
      </c>
      <c r="N138" s="76">
        <f>IFERROR(IF(M138="","",CEILING(M138,50)),"")</f>
        <v>0</v>
      </c>
      <c r="O138" s="77"/>
      <c r="P138" s="78" t="str">
        <f>IFERROR(IF(G138="","",G138*N138*(1-O138)),"")</f>
        <v/>
      </c>
      <c r="Q138" s="79"/>
    </row>
    <row r="139" spans="1:17" ht="19.5" customHeight="1" x14ac:dyDescent="0.2">
      <c r="A139" s="72" t="s">
        <v>1643</v>
      </c>
      <c r="B139" s="69" t="s">
        <v>1627</v>
      </c>
      <c r="C139" s="69">
        <v>5</v>
      </c>
      <c r="D139" s="69">
        <v>304</v>
      </c>
      <c r="E139" s="69" t="s">
        <v>97</v>
      </c>
      <c r="F139" s="69" t="s">
        <v>178</v>
      </c>
      <c r="G139" s="69">
        <v>1</v>
      </c>
      <c r="H139" s="73">
        <f>IFERROR(IF(B139="","",(C139/100)*(D139/100)),"")</f>
        <v>0.15200000000000002</v>
      </c>
      <c r="I139" s="74">
        <f>IFERROR(IF(B139="","",_xlfn.LET(_xlpm.tamano,IF(H139&lt;=0.5,"CHICO",IF(H139&lt;=1,"MEDIANO","GRANDE")),_xlpm.clave,B139&amp;"|"&amp;_xlpm.tamano,_xlpm.fila,MATCH(_xlpm.clave,COSTOS_M2!$H$5:$H$67,0),_xlpm.mat_m2,INDEX(IF(F139="HUANACAXTLE",COSTOS_M2!$D$5:$D$67,IF(F139="ENCINO",COSTOS_M2!$E$5:$E$67,COSTOS_M2!$F$5:$F$67)),_xlpm.fila),_xlpm.cons_m2,INDEX(COSTOS_M2!$G$5:$G$67,_xlpm.fila),_xlpm.prof_factor,IF(AND(E139&lt;&gt;"—",E139&lt;&gt;"",ISNUMBER(E139)),POWER(E139/40,1.8),1),_xlpm.total_m2,(_xlpm.mat_m2+_xlpm.cons_m2)*H139*_xlpm.prof_factor*IF(C139&gt;70,COSTOS_M2!$B$70,1)*IF(D139&gt;244,COSTOS_M2!$B$71,1),_xlpm.total_m2)),"")</f>
        <v>2983.7600000000007</v>
      </c>
      <c r="J139" s="74">
        <f>IFERROR(IF(B139="","",INDEX(MANO_DE_OBRA!$P$10:$P$72,MATCH(B139&amp;"|"&amp;IF(H139&lt;=0.5,"CHICO",IF(H139&lt;=1,"MEDIANO","GRANDE")),MANO_DE_OBRA!$Q$10:$Q$72,0))),"")</f>
        <v>679.06049999999993</v>
      </c>
      <c r="K139" s="342">
        <f>IFERROR(IF(B139="","",_xlfn.LET(_xlpm.clave_prof,B139&amp;"|"&amp;E139,_xlpm.clave_todas,B139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39" s="75">
        <f>IFERROR(IF(B139="","",IF(I139="",0,I139)+IF(J139="",0,J139)+IF(K139="",0,K139)),"")</f>
        <v>3662.8205000000007</v>
      </c>
      <c r="M139" s="75">
        <f>IFERROR(IF(L139="","",L139*$D$8),"")</f>
        <v>4578.5256250000011</v>
      </c>
      <c r="N139" s="76">
        <f>IFERROR(IF(M139="","",CEILING(M139,50)),"")</f>
        <v>4600</v>
      </c>
      <c r="O139" s="77">
        <v>0</v>
      </c>
      <c r="P139" s="78">
        <f>IFERROR(IF(G139="","",G139*N139*(1-O139)),"")</f>
        <v>4600</v>
      </c>
      <c r="Q139" s="79"/>
    </row>
    <row r="140" spans="1:17" ht="19.5" customHeight="1" x14ac:dyDescent="0.2">
      <c r="A140" s="72" t="s">
        <v>1643</v>
      </c>
      <c r="B140" s="69" t="s">
        <v>195</v>
      </c>
      <c r="C140" s="69">
        <v>33</v>
      </c>
      <c r="D140" s="69">
        <v>100</v>
      </c>
      <c r="E140" s="69" t="s">
        <v>97</v>
      </c>
      <c r="F140" s="69" t="s">
        <v>178</v>
      </c>
      <c r="G140" s="69">
        <v>1</v>
      </c>
      <c r="H140" s="73">
        <f>IFERROR(IF(B140="","",(C140/100)*(D140/100)),"")</f>
        <v>0.33</v>
      </c>
      <c r="I140" s="74">
        <f>IFERROR(IF(B140="","",_xlfn.LET(_xlpm.tamano,IF(H140&lt;=0.5,"CHICO",IF(H140&lt;=1,"MEDIANO","GRANDE")),_xlpm.clave,B140&amp;"|"&amp;_xlpm.tamano,_xlpm.fila,MATCH(_xlpm.clave,COSTOS_M2!$H$5:$H$67,0),_xlpm.mat_m2,INDEX(IF(F140="HUANACAXTLE",COSTOS_M2!$D$5:$D$67,IF(F140="ENCINO",COSTOS_M2!$E$5:$E$67,COSTOS_M2!$F$5:$F$67)),_xlpm.fila),_xlpm.cons_m2,INDEX(COSTOS_M2!$G$5:$G$67,_xlpm.fila),_xlpm.prof_factor,IF(AND(E140&lt;&gt;"—",E140&lt;&gt;"",ISNUMBER(E140)),POWER(E140/40,1.8),1),_xlpm.total_m2,(_xlpm.mat_m2+_xlpm.cons_m2)*H140*_xlpm.prof_factor*IF(C140&gt;70,COSTOS_M2!$B$70,1)*IF(D140&gt;244,COSTOS_M2!$B$71,1),_xlpm.total_m2)),"")</f>
        <v>244.86</v>
      </c>
      <c r="J140" s="74">
        <f>IFERROR(IF(B140="","",INDEX(MANO_DE_OBRA!$P$10:$P$72,MATCH(B140&amp;"|"&amp;IF(H140&lt;=0.5,"CHICO",IF(H140&lt;=1,"MEDIANO","GRANDE")),MANO_DE_OBRA!$Q$10:$Q$72,0))),"")</f>
        <v>395.78996999999998</v>
      </c>
      <c r="K140" s="342">
        <f>IFERROR(IF(B140="","",_xlfn.LET(_xlpm.clave_prof,B140&amp;"|"&amp;E140,_xlpm.clave_todas,B140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40" s="75">
        <f>IFERROR(IF(B140="","",IF(I140="",0,I140)+IF(J140="",0,J140)+IF(K140="",0,K140)),"")</f>
        <v>640.64996999999994</v>
      </c>
      <c r="M140" s="75">
        <f>IFERROR(IF(L140="","",L140*$D$8),"")</f>
        <v>800.81246249999992</v>
      </c>
      <c r="N140" s="76">
        <f>IFERROR(IF(M140="","",CEILING(M140,50)),"")</f>
        <v>850</v>
      </c>
      <c r="O140" s="77">
        <v>0</v>
      </c>
      <c r="P140" s="78">
        <f>IFERROR(IF(G140="","",G140*N140*(1-O140)),"")</f>
        <v>850</v>
      </c>
      <c r="Q140" s="79"/>
    </row>
    <row r="141" spans="1:17" ht="19.5" customHeight="1" x14ac:dyDescent="0.2">
      <c r="A141" s="72" t="s">
        <v>1643</v>
      </c>
      <c r="B141" s="69" t="s">
        <v>196</v>
      </c>
      <c r="C141" s="69">
        <v>33</v>
      </c>
      <c r="D141" s="69">
        <v>100</v>
      </c>
      <c r="E141" s="69" t="s">
        <v>97</v>
      </c>
      <c r="F141" s="69" t="s">
        <v>178</v>
      </c>
      <c r="G141" s="69">
        <v>1</v>
      </c>
      <c r="H141" s="73">
        <f>IFERROR(IF(B141="","",(C141/100)*(D141/100)),"")</f>
        <v>0.33</v>
      </c>
      <c r="I141" s="74">
        <f>IFERROR(IF(B141="","",_xlfn.LET(_xlpm.tamano,IF(H141&lt;=0.5,"CHICO",IF(H141&lt;=1,"MEDIANO","GRANDE")),_xlpm.clave,B141&amp;"|"&amp;_xlpm.tamano,_xlpm.fila,MATCH(_xlpm.clave,COSTOS_M2!$H$5:$H$67,0),_xlpm.mat_m2,INDEX(IF(F141="HUANACAXTLE",COSTOS_M2!$D$5:$D$67,IF(F141="ENCINO",COSTOS_M2!$E$5:$E$67,COSTOS_M2!$F$5:$F$67)),_xlpm.fila),_xlpm.cons_m2,INDEX(COSTOS_M2!$G$5:$G$67,_xlpm.fila),_xlpm.prof_factor,IF(AND(E141&lt;&gt;"—",E141&lt;&gt;"",ISNUMBER(E141)),POWER(E141/40,1.8),1),_xlpm.total_m2,(_xlpm.mat_m2+_xlpm.cons_m2)*H141*_xlpm.prof_factor*IF(C141&gt;70,COSTOS_M2!$B$70,1)*IF(D141&gt;244,COSTOS_M2!$B$71,1),_xlpm.total_m2)),"")</f>
        <v>293.04000000000002</v>
      </c>
      <c r="J141" s="74">
        <f>IFERROR(IF(B141="","",INDEX(MANO_DE_OBRA!$P$10:$P$72,MATCH(B141&amp;"|"&amp;IF(H141&lt;=0.5,"CHICO",IF(H141&lt;=1,"MEDIANO","GRANDE")),MANO_DE_OBRA!$Q$10:$Q$72,0))),"")</f>
        <v>404.95226999999994</v>
      </c>
      <c r="K141" s="342">
        <f>IFERROR(IF(B141="","",_xlfn.LET(_xlpm.clave_prof,B141&amp;"|"&amp;E141,_xlpm.clave_todas,B141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41" s="75">
        <f>IFERROR(IF(B141="","",IF(I141="",0,I141)+IF(J141="",0,J141)+IF(K141="",0,K141)),"")</f>
        <v>697.99226999999996</v>
      </c>
      <c r="M141" s="75">
        <f>IFERROR(IF(L141="","",L141*$D$8),"")</f>
        <v>872.4903374999999</v>
      </c>
      <c r="N141" s="76">
        <f>IFERROR(IF(M141="","",CEILING(M141,50)),"")</f>
        <v>900</v>
      </c>
      <c r="O141" s="77">
        <v>0</v>
      </c>
      <c r="P141" s="78">
        <f>IFERROR(IF(G141="","",G141*N141*(1-O141)),"")</f>
        <v>900</v>
      </c>
      <c r="Q141" s="79"/>
    </row>
    <row r="142" spans="1:17" ht="19.5" customHeight="1" x14ac:dyDescent="0.2">
      <c r="A142" s="72" t="s">
        <v>1643</v>
      </c>
      <c r="B142" s="69" t="s">
        <v>1623</v>
      </c>
      <c r="C142" s="69">
        <v>33</v>
      </c>
      <c r="D142" s="69">
        <v>100</v>
      </c>
      <c r="E142" s="69" t="s">
        <v>97</v>
      </c>
      <c r="F142" s="69" t="s">
        <v>178</v>
      </c>
      <c r="G142" s="69">
        <v>5</v>
      </c>
      <c r="H142" s="73">
        <f>IFERROR(IF(B142="","",(C142/100)*(D142/100)),"")</f>
        <v>0.33</v>
      </c>
      <c r="I142" s="74">
        <f>IFERROR(IF(B142="","",_xlfn.LET(_xlpm.tamano,IF(H142&lt;=0.5,"CHICO",IF(H142&lt;=1,"MEDIANO","GRANDE")),_xlpm.clave,B142&amp;"|"&amp;_xlpm.tamano,_xlpm.fila,MATCH(_xlpm.clave,COSTOS_M2!$H$5:$H$67,0),_xlpm.mat_m2,INDEX(IF(F142="HUANACAXTLE",COSTOS_M2!$D$5:$D$67,IF(F142="ENCINO",COSTOS_M2!$E$5:$E$67,COSTOS_M2!$F$5:$F$67)),_xlpm.fila),_xlpm.cons_m2,INDEX(COSTOS_M2!$G$5:$G$67,_xlpm.fila),_xlpm.prof_factor,IF(AND(E142&lt;&gt;"—",E142&lt;&gt;"",ISNUMBER(E142)),POWER(E142/40,1.8),1),_xlpm.total_m2,(_xlpm.mat_m2+_xlpm.cons_m2)*H142*_xlpm.prof_factor*IF(C142&gt;70,COSTOS_M2!$B$70,1)*IF(D142&gt;244,COSTOS_M2!$B$71,1),_xlpm.total_m2)),"")</f>
        <v>275.55</v>
      </c>
      <c r="J142" s="74">
        <f>IFERROR(IF(B142="","",INDEX(MANO_DE_OBRA!$P$10:$P$72,MATCH(B142&amp;"|"&amp;IF(H142&lt;=0.5,"CHICO",IF(H142&lt;=1,"MEDIANO","GRANDE")),MANO_DE_OBRA!$Q$10:$Q$72,0))),"")</f>
        <v>265.80149999999998</v>
      </c>
      <c r="K142" s="342">
        <f>IFERROR(IF(B142="","",_xlfn.LET(_xlpm.clave_prof,B142&amp;"|"&amp;E142,_xlpm.clave_todas,B142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42" s="75">
        <f>IFERROR(IF(B142="","",IF(I142="",0,I142)+IF(J142="",0,J142)+IF(K142="",0,K142)),"")</f>
        <v>541.35149999999999</v>
      </c>
      <c r="M142" s="75">
        <f>IFERROR(IF(L142="","",L142*$D$8),"")</f>
        <v>676.68937499999993</v>
      </c>
      <c r="N142" s="76">
        <f>IFERROR(IF(M142="","",CEILING(M142,50)),"")</f>
        <v>700</v>
      </c>
      <c r="O142" s="77">
        <v>0</v>
      </c>
      <c r="P142" s="78">
        <f>IFERROR(IF(G142="","",G142*N142*(1-O142)),"")</f>
        <v>3500</v>
      </c>
      <c r="Q142" s="79"/>
    </row>
    <row r="143" spans="1:17" ht="19.5" customHeight="1" x14ac:dyDescent="0.2">
      <c r="A143" s="72" t="s">
        <v>1643</v>
      </c>
      <c r="B143" s="69" t="s">
        <v>1628</v>
      </c>
      <c r="C143" s="69">
        <v>304</v>
      </c>
      <c r="D143" s="69">
        <v>240</v>
      </c>
      <c r="E143" s="69" t="s">
        <v>97</v>
      </c>
      <c r="F143" s="69" t="s">
        <v>178</v>
      </c>
      <c r="G143" s="69">
        <v>1</v>
      </c>
      <c r="H143" s="73">
        <f>IFERROR(IF(B143="","",(C143/100)*(D143/100)),"")</f>
        <v>7.2959999999999994</v>
      </c>
      <c r="I143" s="74">
        <f>IFERROR(IF(B143="","",_xlfn.LET(_xlpm.tamano,IF(H143&lt;=0.5,"CHICO",IF(H143&lt;=1,"MEDIANO","GRANDE")),_xlpm.clave,B143&amp;"|"&amp;_xlpm.tamano,_xlpm.fila,MATCH(_xlpm.clave,COSTOS_M2!$H$5:$H$67,0),_xlpm.mat_m2,INDEX(IF(F143="HUANACAXTLE",COSTOS_M2!$D$5:$D$67,IF(F143="ENCINO",COSTOS_M2!$E$5:$E$67,COSTOS_M2!$F$5:$F$67)),_xlpm.fila),_xlpm.cons_m2,INDEX(COSTOS_M2!$G$5:$G$67,_xlpm.fila),_xlpm.prof_factor,IF(AND(E143&lt;&gt;"—",E143&lt;&gt;"",ISNUMBER(E143)),POWER(E143/40,1.8),1),_xlpm.total_m2,(_xlpm.mat_m2+_xlpm.cons_m2)*H143*_xlpm.prof_factor*IF(C143&gt;70,COSTOS_M2!$B$70,1)*IF(D143&gt;244,COSTOS_M2!$B$71,1),_xlpm.total_m2)),"")</f>
        <v>2228.9279999999999</v>
      </c>
      <c r="J143" s="74">
        <f>IFERROR(IF(B143="","",INDEX(MANO_DE_OBRA!$P$10:$P$72,MATCH(B143&amp;"|"&amp;IF(H143&lt;=0.5,"CHICO",IF(H143&lt;=1,"MEDIANO","GRANDE")),MANO_DE_OBRA!$Q$10:$Q$72,0))),"")</f>
        <v>295.7955</v>
      </c>
      <c r="K143" s="342">
        <f>IFERROR(IF(B143="","",_xlfn.LET(_xlpm.clave_prof,B143&amp;"|"&amp;E143,_xlpm.clave_todas,B143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43" s="75">
        <f>IFERROR(IF(B143="","",IF(I143="",0,I143)+IF(J143="",0,J143)+IF(K143="",0,K143)),"")</f>
        <v>2524.7235000000001</v>
      </c>
      <c r="M143" s="75">
        <f>IFERROR(IF(L143="","",L143*$D$8),"")</f>
        <v>3155.9043750000001</v>
      </c>
      <c r="N143" s="76">
        <f>IFERROR(IF(M143="","",CEILING(M143,50)),"")</f>
        <v>3200</v>
      </c>
      <c r="O143" s="77">
        <v>0</v>
      </c>
      <c r="P143" s="78">
        <f>IFERROR(IF(G143="","",G143*N143*(1-O143)),"")</f>
        <v>3200</v>
      </c>
      <c r="Q143" s="79"/>
    </row>
    <row r="144" spans="1:17" ht="19.5" customHeight="1" x14ac:dyDescent="0.2">
      <c r="A144" s="72" t="s">
        <v>1643</v>
      </c>
      <c r="B144" s="69" t="s">
        <v>200</v>
      </c>
      <c r="C144" s="69">
        <v>50</v>
      </c>
      <c r="D144" s="69">
        <v>240</v>
      </c>
      <c r="E144" s="69" t="s">
        <v>97</v>
      </c>
      <c r="F144" s="69" t="s">
        <v>178</v>
      </c>
      <c r="G144" s="69">
        <v>2</v>
      </c>
      <c r="H144" s="73">
        <f>IFERROR(IF(B144="","",(C144/100)*(D144/100)),"")</f>
        <v>1.2</v>
      </c>
      <c r="I144" s="74">
        <f>IFERROR(IF(B144="","",_xlfn.LET(_xlpm.tamano,IF(H144&lt;=0.5,"CHICO",IF(H144&lt;=1,"MEDIANO","GRANDE")),_xlpm.clave,B144&amp;"|"&amp;_xlpm.tamano,_xlpm.fila,MATCH(_xlpm.clave,COSTOS_M2!$H$5:$H$67,0),_xlpm.mat_m2,INDEX(IF(F144="HUANACAXTLE",COSTOS_M2!$D$5:$D$67,IF(F144="ENCINO",COSTOS_M2!$E$5:$E$67,COSTOS_M2!$F$5:$F$67)),_xlpm.fila),_xlpm.cons_m2,INDEX(COSTOS_M2!$G$5:$G$67,_xlpm.fila),_xlpm.prof_factor,IF(AND(E144&lt;&gt;"—",E144&lt;&gt;"",ISNUMBER(E144)),POWER(E144/40,1.8),1),_xlpm.total_m2,(_xlpm.mat_m2+_xlpm.cons_m2)*H144*_xlpm.prof_factor*IF(C144&gt;70,COSTOS_M2!$B$70,1)*IF(D144&gt;244,COSTOS_M2!$B$71,1),_xlpm.total_m2)),"")</f>
        <v>966</v>
      </c>
      <c r="J144" s="74">
        <f>IFERROR(IF(B144="","",INDEX(MANO_DE_OBRA!$P$10:$P$72,MATCH(B144&amp;"|"&amp;IF(H144&lt;=0.5,"CHICO",IF(H144&lt;=1,"MEDIANO","GRANDE")),MANO_DE_OBRA!$Q$10:$Q$72,0))),"")</f>
        <v>810.61836000000005</v>
      </c>
      <c r="K144" s="342">
        <f>IFERROR(IF(B144="","",_xlfn.LET(_xlpm.clave_prof,B144&amp;"|"&amp;E144,_xlpm.clave_todas,B144&amp;"|TODAS",_xlpm.herr_prof,SUMIFS(HERRAJES!$H$5:$H$36,HERRAJES!$J$5:$J$36,_xlpm.clave_prof),_xlpm.herr_todas,SUMIFS(HERRAJES!$H$5:$H$36,HERRAJES!$J$5:$J$36,_xlpm.clave_todas),IF(_xlpm.herr_prof&gt;0,_xlpm.herr_prof,_xlpm.herr_todas))),"")</f>
        <v>311.39999999999998</v>
      </c>
      <c r="L144" s="75">
        <f>IFERROR(IF(B144="","",IF(I144="",0,I144)+IF(J144="",0,J144)+IF(K144="",0,K144)),"")</f>
        <v>2088.01836</v>
      </c>
      <c r="M144" s="75">
        <f>IFERROR(IF(L144="","",L144*$D$8),"")</f>
        <v>2610.02295</v>
      </c>
      <c r="N144" s="76">
        <f>IFERROR(IF(M144="","",CEILING(M144,50)),"")</f>
        <v>2650</v>
      </c>
      <c r="O144" s="77">
        <v>0</v>
      </c>
      <c r="P144" s="78">
        <f>IFERROR(IF(G144="","",G144*N144*(1-O144)),"")</f>
        <v>5300</v>
      </c>
      <c r="Q144" s="79"/>
    </row>
    <row r="145" spans="1:17" ht="19.5" customHeight="1" x14ac:dyDescent="0.2">
      <c r="A145" s="72" t="s">
        <v>1643</v>
      </c>
      <c r="B145" s="69" t="s">
        <v>200</v>
      </c>
      <c r="C145" s="69">
        <v>50</v>
      </c>
      <c r="D145" s="69">
        <v>140</v>
      </c>
      <c r="E145" s="69" t="s">
        <v>97</v>
      </c>
      <c r="F145" s="69" t="s">
        <v>178</v>
      </c>
      <c r="G145" s="69">
        <v>2</v>
      </c>
      <c r="H145" s="73">
        <f>IFERROR(IF(B145="","",(C145/100)*(D145/100)),"")</f>
        <v>0.7</v>
      </c>
      <c r="I145" s="74">
        <f>IFERROR(IF(B145="","",_xlfn.LET(_xlpm.tamano,IF(H145&lt;=0.5,"CHICO",IF(H145&lt;=1,"MEDIANO","GRANDE")),_xlpm.clave,B145&amp;"|"&amp;_xlpm.tamano,_xlpm.fila,MATCH(_xlpm.clave,COSTOS_M2!$H$5:$H$67,0),_xlpm.mat_m2,INDEX(IF(F145="HUANACAXTLE",COSTOS_M2!$D$5:$D$67,IF(F145="ENCINO",COSTOS_M2!$E$5:$E$67,COSTOS_M2!$F$5:$F$67)),_xlpm.fila),_xlpm.cons_m2,INDEX(COSTOS_M2!$G$5:$G$67,_xlpm.fila),_xlpm.prof_factor,IF(AND(E145&lt;&gt;"—",E145&lt;&gt;"",ISNUMBER(E145)),POWER(E145/40,1.8),1),_xlpm.total_m2,(_xlpm.mat_m2+_xlpm.cons_m2)*H145*_xlpm.prof_factor*IF(C145&gt;70,COSTOS_M2!$B$70,1)*IF(D145&gt;244,COSTOS_M2!$B$71,1),_xlpm.total_m2)),"")</f>
        <v>602</v>
      </c>
      <c r="J145" s="74">
        <f>IFERROR(IF(B145="","",INDEX(MANO_DE_OBRA!$P$10:$P$72,MATCH(B145&amp;"|"&amp;IF(H145&lt;=0.5,"CHICO",IF(H145&lt;=1,"MEDIANO","GRANDE")),MANO_DE_OBRA!$Q$10:$Q$72,0))),"")</f>
        <v>651.42600000000004</v>
      </c>
      <c r="K145" s="342">
        <f>IFERROR(IF(B145="","",_xlfn.LET(_xlpm.clave_prof,B145&amp;"|"&amp;E145,_xlpm.clave_todas,B145&amp;"|TODAS",_xlpm.herr_prof,SUMIFS(HERRAJES!$H$5:$H$36,HERRAJES!$J$5:$J$36,_xlpm.clave_prof),_xlpm.herr_todas,SUMIFS(HERRAJES!$H$5:$H$36,HERRAJES!$J$5:$J$36,_xlpm.clave_todas),IF(_xlpm.herr_prof&gt;0,_xlpm.herr_prof,_xlpm.herr_todas))),"")</f>
        <v>311.39999999999998</v>
      </c>
      <c r="L145" s="75">
        <f>IFERROR(IF(B145="","",IF(I145="",0,I145)+IF(J145="",0,J145)+IF(K145="",0,K145)),"")</f>
        <v>1564.826</v>
      </c>
      <c r="M145" s="75">
        <f>IFERROR(IF(L145="","",L145*$D$8),"")</f>
        <v>1956.0325</v>
      </c>
      <c r="N145" s="76">
        <f>IFERROR(IF(M145="","",CEILING(M145,50)),"")</f>
        <v>2000</v>
      </c>
      <c r="O145" s="77">
        <v>0</v>
      </c>
      <c r="P145" s="78">
        <f>IFERROR(IF(G145="","",G145*N145*(1-O145)),"")</f>
        <v>4000</v>
      </c>
      <c r="Q145" s="79"/>
    </row>
    <row r="146" spans="1:17" ht="19.5" customHeight="1" x14ac:dyDescent="0.2">
      <c r="A146" s="72" t="s">
        <v>1643</v>
      </c>
      <c r="B146" s="69" t="s">
        <v>1624</v>
      </c>
      <c r="C146" s="69">
        <v>5</v>
      </c>
      <c r="D146" s="69">
        <v>2000</v>
      </c>
      <c r="E146" s="69" t="s">
        <v>97</v>
      </c>
      <c r="F146" s="69" t="s">
        <v>178</v>
      </c>
      <c r="G146" s="69">
        <v>1</v>
      </c>
      <c r="H146" s="73">
        <f>IFERROR(IF(B146="","",(C146/100)*(D146/100)),"")</f>
        <v>1</v>
      </c>
      <c r="I146" s="74">
        <f>IFERROR(IF(B146="","",_xlfn.LET(_xlpm.tamano,IF(H146&lt;=0.5,"CHICO",IF(H146&lt;=1,"MEDIANO","GRANDE")),_xlpm.clave,B146&amp;"|"&amp;_xlpm.tamano,_xlpm.fila,MATCH(_xlpm.clave,COSTOS_M2!$H$5:$H$67,0),_xlpm.mat_m2,INDEX(IF(F146="HUANACAXTLE",COSTOS_M2!$D$5:$D$67,IF(F146="ENCINO",COSTOS_M2!$E$5:$E$67,COSTOS_M2!$F$5:$F$67)),_xlpm.fila),_xlpm.cons_m2,INDEX(COSTOS_M2!$G$5:$G$67,_xlpm.fila),_xlpm.prof_factor,IF(AND(E146&lt;&gt;"—",E146&lt;&gt;"",ISNUMBER(E146)),POWER(E146/40,1.8),1),_xlpm.total_m2,(_xlpm.mat_m2+_xlpm.cons_m2)*H146*_xlpm.prof_factor*IF(C146&gt;70,COSTOS_M2!$B$70,1)*IF(D146&gt;244,COSTOS_M2!$B$71,1),_xlpm.total_m2)),"")</f>
        <v>6357</v>
      </c>
      <c r="J146" s="74">
        <f>IFERROR(IF(B146="","",INDEX(MANO_DE_OBRA!$P$10:$P$72,MATCH(B146&amp;"|"&amp;IF(H146&lt;=0.5,"CHICO",IF(H146&lt;=1,"MEDIANO","GRANDE")),MANO_DE_OBRA!$Q$10:$Q$72,0))),"")</f>
        <v>403.37399999999997</v>
      </c>
      <c r="K146" s="342">
        <f>IFERROR(IF(B146="","",_xlfn.LET(_xlpm.clave_prof,B146&amp;"|"&amp;E146,_xlpm.clave_todas,B146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46" s="75">
        <f>IFERROR(IF(B146="","",IF(I146="",0,I146)+IF(J146="",0,J146)+IF(K146="",0,K146)),"")</f>
        <v>6760.3739999999998</v>
      </c>
      <c r="M146" s="75">
        <f>IFERROR(IF(L146="","",L146*$D$8),"")</f>
        <v>8450.4674999999988</v>
      </c>
      <c r="N146" s="76">
        <f>IFERROR(IF(M146="","",CEILING(M146,50)),"")</f>
        <v>8500</v>
      </c>
      <c r="O146" s="77">
        <v>0</v>
      </c>
      <c r="P146" s="78">
        <f>IFERROR(IF(G146="","",G146*N146*(1-O146)),"")</f>
        <v>8500</v>
      </c>
      <c r="Q146" s="79"/>
    </row>
    <row r="147" spans="1:17" ht="19.5" customHeight="1" x14ac:dyDescent="0.2">
      <c r="A147" s="72" t="s">
        <v>1643</v>
      </c>
      <c r="B147" s="69" t="s">
        <v>708</v>
      </c>
      <c r="C147" s="69">
        <v>40</v>
      </c>
      <c r="D147" s="69">
        <v>100</v>
      </c>
      <c r="E147" s="69" t="s">
        <v>97</v>
      </c>
      <c r="F147" s="69" t="s">
        <v>178</v>
      </c>
      <c r="G147" s="69">
        <v>4</v>
      </c>
      <c r="H147" s="73">
        <f>IFERROR(IF(B147="","",(C147/100)*(D147/100)),"")</f>
        <v>0.4</v>
      </c>
      <c r="I147" s="74">
        <f>IFERROR(IF(B147="","",_xlfn.LET(_xlpm.tamano,IF(H147&lt;=0.5,"CHICO",IF(H147&lt;=1,"MEDIANO","GRANDE")),_xlpm.clave,B147&amp;"|"&amp;_xlpm.tamano,_xlpm.fila,MATCH(_xlpm.clave,COSTOS_M2!$H$5:$H$67,0),_xlpm.mat_m2,INDEX(IF(F147="HUANACAXTLE",COSTOS_M2!$D$5:$D$67,IF(F147="ENCINO",COSTOS_M2!$E$5:$E$67,COSTOS_M2!$F$5:$F$67)),_xlpm.fila),_xlpm.cons_m2,INDEX(COSTOS_M2!$G$5:$G$67,_xlpm.fila),_xlpm.prof_factor,IF(AND(E147&lt;&gt;"—",E147&lt;&gt;"",ISNUMBER(E147)),POWER(E147/40,1.8),1),_xlpm.total_m2,(_xlpm.mat_m2+_xlpm.cons_m2)*H147*_xlpm.prof_factor*IF(C147&gt;70,COSTOS_M2!$B$70,1)*IF(D147&gt;244,COSTOS_M2!$B$71,1),_xlpm.total_m2)),"")</f>
        <v>208</v>
      </c>
      <c r="J147" s="74">
        <f>IFERROR(IF(B147="","",INDEX(MANO_DE_OBRA!$P$10:$P$72,MATCH(B147&amp;"|"&amp;IF(H147&lt;=0.5,"CHICO",IF(H147&lt;=1,"MEDIANO","GRANDE")),MANO_DE_OBRA!$Q$10:$Q$72,0))),"")</f>
        <v>94.289999999999992</v>
      </c>
      <c r="K147" s="342">
        <f>IFERROR(IF(B147="","",_xlfn.LET(_xlpm.clave_prof,B147&amp;"|"&amp;E147,_xlpm.clave_todas,B147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47" s="75">
        <f>IFERROR(IF(B147="","",IF(I147="",0,I147)+IF(J147="",0,J147)+IF(K147="",0,K147)),"")</f>
        <v>302.28999999999996</v>
      </c>
      <c r="M147" s="75">
        <f>IFERROR(IF(L147="","",L147*$D$8),"")</f>
        <v>377.86249999999995</v>
      </c>
      <c r="N147" s="76">
        <f>IFERROR(IF(M147="","",CEILING(M147,50)),"")</f>
        <v>400</v>
      </c>
      <c r="O147" s="77">
        <v>0</v>
      </c>
      <c r="P147" s="78">
        <f>IFERROR(IF(G147="","",G147*N147*(1-O147)),"")</f>
        <v>1600</v>
      </c>
      <c r="Q147" s="79"/>
    </row>
    <row r="148" spans="1:17" ht="19.5" customHeight="1" x14ac:dyDescent="0.2">
      <c r="A148" s="72" t="s">
        <v>1643</v>
      </c>
      <c r="B148" s="69" t="s">
        <v>708</v>
      </c>
      <c r="C148" s="69">
        <v>40</v>
      </c>
      <c r="D148" s="69">
        <v>25</v>
      </c>
      <c r="E148" s="69" t="s">
        <v>97</v>
      </c>
      <c r="F148" s="69" t="s">
        <v>178</v>
      </c>
      <c r="G148" s="69">
        <v>4</v>
      </c>
      <c r="H148" s="73">
        <f>IFERROR(IF(B148="","",(C148/100)*(D148/100)),"")</f>
        <v>0.1</v>
      </c>
      <c r="I148" s="74">
        <f>IFERROR(IF(B148="","",_xlfn.LET(_xlpm.tamano,IF(H148&lt;=0.5,"CHICO",IF(H148&lt;=1,"MEDIANO","GRANDE")),_xlpm.clave,B148&amp;"|"&amp;_xlpm.tamano,_xlpm.fila,MATCH(_xlpm.clave,COSTOS_M2!$H$5:$H$67,0),_xlpm.mat_m2,INDEX(IF(F148="HUANACAXTLE",COSTOS_M2!$D$5:$D$67,IF(F148="ENCINO",COSTOS_M2!$E$5:$E$67,COSTOS_M2!$F$5:$F$67)),_xlpm.fila),_xlpm.cons_m2,INDEX(COSTOS_M2!$G$5:$G$67,_xlpm.fila),_xlpm.prof_factor,IF(AND(E148&lt;&gt;"—",E148&lt;&gt;"",ISNUMBER(E148)),POWER(E148/40,1.8),1),_xlpm.total_m2,(_xlpm.mat_m2+_xlpm.cons_m2)*H148*_xlpm.prof_factor*IF(C148&gt;70,COSTOS_M2!$B$70,1)*IF(D148&gt;244,COSTOS_M2!$B$71,1),_xlpm.total_m2)),"")</f>
        <v>52</v>
      </c>
      <c r="J148" s="74">
        <f>IFERROR(IF(B148="","",INDEX(MANO_DE_OBRA!$P$10:$P$72,MATCH(B148&amp;"|"&amp;IF(H148&lt;=0.5,"CHICO",IF(H148&lt;=1,"MEDIANO","GRANDE")),MANO_DE_OBRA!$Q$10:$Q$72,0))),"")</f>
        <v>94.289999999999992</v>
      </c>
      <c r="K148" s="342">
        <f>IFERROR(IF(B148="","",_xlfn.LET(_xlpm.clave_prof,B148&amp;"|"&amp;E148,_xlpm.clave_todas,B148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48" s="75">
        <f>IFERROR(IF(B148="","",IF(I148="",0,I148)+IF(J148="",0,J148)+IF(K148="",0,K148)),"")</f>
        <v>146.29</v>
      </c>
      <c r="M148" s="75">
        <f>IFERROR(IF(L148="","",L148*$D$8),"")</f>
        <v>182.86249999999998</v>
      </c>
      <c r="N148" s="76">
        <f>IFERROR(IF(M148="","",CEILING(M148,50)),"")</f>
        <v>200</v>
      </c>
      <c r="O148" s="77">
        <v>0</v>
      </c>
      <c r="P148" s="78">
        <f>IFERROR(IF(G148="","",G148*N148*(1-O148)),"")</f>
        <v>800</v>
      </c>
      <c r="Q148" s="79"/>
    </row>
    <row r="149" spans="1:17" ht="19.5" customHeight="1" x14ac:dyDescent="0.2">
      <c r="A149" s="72" t="s">
        <v>1643</v>
      </c>
      <c r="B149" s="69" t="s">
        <v>708</v>
      </c>
      <c r="C149" s="69">
        <v>40</v>
      </c>
      <c r="D149" s="69">
        <v>75</v>
      </c>
      <c r="E149" s="69" t="s">
        <v>97</v>
      </c>
      <c r="F149" s="69" t="s">
        <v>178</v>
      </c>
      <c r="G149" s="69">
        <v>2</v>
      </c>
      <c r="H149" s="73">
        <f>IFERROR(IF(B149="","",(C149/100)*(D149/100)),"")</f>
        <v>0.30000000000000004</v>
      </c>
      <c r="I149" s="74">
        <f>IFERROR(IF(B149="","",_xlfn.LET(_xlpm.tamano,IF(H149&lt;=0.5,"CHICO",IF(H149&lt;=1,"MEDIANO","GRANDE")),_xlpm.clave,B149&amp;"|"&amp;_xlpm.tamano,_xlpm.fila,MATCH(_xlpm.clave,COSTOS_M2!$H$5:$H$67,0),_xlpm.mat_m2,INDEX(IF(F149="HUANACAXTLE",COSTOS_M2!$D$5:$D$67,IF(F149="ENCINO",COSTOS_M2!$E$5:$E$67,COSTOS_M2!$F$5:$F$67)),_xlpm.fila),_xlpm.cons_m2,INDEX(COSTOS_M2!$G$5:$G$67,_xlpm.fila),_xlpm.prof_factor,IF(AND(E149&lt;&gt;"—",E149&lt;&gt;"",ISNUMBER(E149)),POWER(E149/40,1.8),1),_xlpm.total_m2,(_xlpm.mat_m2+_xlpm.cons_m2)*H149*_xlpm.prof_factor*IF(C149&gt;70,COSTOS_M2!$B$70,1)*IF(D149&gt;244,COSTOS_M2!$B$71,1),_xlpm.total_m2)),"")</f>
        <v>156.00000000000003</v>
      </c>
      <c r="J149" s="74">
        <f>IFERROR(IF(B149="","",INDEX(MANO_DE_OBRA!$P$10:$P$72,MATCH(B149&amp;"|"&amp;IF(H149&lt;=0.5,"CHICO",IF(H149&lt;=1,"MEDIANO","GRANDE")),MANO_DE_OBRA!$Q$10:$Q$72,0))),"")</f>
        <v>94.289999999999992</v>
      </c>
      <c r="K149" s="342">
        <f>IFERROR(IF(B149="","",_xlfn.LET(_xlpm.clave_prof,B149&amp;"|"&amp;E149,_xlpm.clave_todas,B149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49" s="75">
        <f>IFERROR(IF(B149="","",IF(I149="",0,I149)+IF(J149="",0,J149)+IF(K149="",0,K149)),"")</f>
        <v>250.29000000000002</v>
      </c>
      <c r="M149" s="75">
        <f>IFERROR(IF(L149="","",L149*$D$8),"")</f>
        <v>312.86250000000001</v>
      </c>
      <c r="N149" s="76">
        <f>IFERROR(IF(M149="","",CEILING(M149,50)),"")</f>
        <v>350</v>
      </c>
      <c r="O149" s="77">
        <v>0</v>
      </c>
      <c r="P149" s="78">
        <f>IFERROR(IF(G149="","",G149*N149*(1-O149)),"")</f>
        <v>700</v>
      </c>
      <c r="Q149" s="79"/>
    </row>
    <row r="150" spans="1:17" ht="19.5" customHeight="1" x14ac:dyDescent="0.2">
      <c r="A150" s="72" t="s">
        <v>1643</v>
      </c>
      <c r="B150" s="69" t="s">
        <v>1626</v>
      </c>
      <c r="C150" s="69">
        <v>5</v>
      </c>
      <c r="D150" s="69">
        <v>600</v>
      </c>
      <c r="E150" s="69" t="s">
        <v>97</v>
      </c>
      <c r="F150" s="69" t="s">
        <v>178</v>
      </c>
      <c r="G150" s="69">
        <v>1</v>
      </c>
      <c r="H150" s="73">
        <f>IFERROR(IF(B150="","",(C150/100)*(D150/100)),"")</f>
        <v>0.30000000000000004</v>
      </c>
      <c r="I150" s="74">
        <f>IFERROR(IF(B150="","",_xlfn.LET(_xlpm.tamano,IF(H150&lt;=0.5,"CHICO",IF(H150&lt;=1,"MEDIANO","GRANDE")),_xlpm.clave,B150&amp;"|"&amp;_xlpm.tamano,_xlpm.fila,MATCH(_xlpm.clave,COSTOS_M2!$H$5:$H$67,0),_xlpm.mat_m2,INDEX(IF(F150="HUANACAXTLE",COSTOS_M2!$D$5:$D$67,IF(F150="ENCINO",COSTOS_M2!$E$5:$E$67,COSTOS_M2!$F$5:$F$67)),_xlpm.fila),_xlpm.cons_m2,INDEX(COSTOS_M2!$G$5:$G$67,_xlpm.fila),_xlpm.prof_factor,IF(AND(E150&lt;&gt;"—",E150&lt;&gt;"",ISNUMBER(E150)),POWER(E150/40,1.8),1),_xlpm.total_m2,(_xlpm.mat_m2+_xlpm.cons_m2)*H150*_xlpm.prof_factor*IF(C150&gt;70,COSTOS_M2!$B$70,1)*IF(D150&gt;244,COSTOS_M2!$B$71,1),_xlpm.total_m2)),"")</f>
        <v>2008.5000000000005</v>
      </c>
      <c r="J150" s="74">
        <f>IFERROR(IF(B150="","",INDEX(MANO_DE_OBRA!$P$10:$P$72,MATCH(B150&amp;"|"&amp;IF(H150&lt;=0.5,"CHICO",IF(H150&lt;=1,"MEDIANO","GRANDE")),MANO_DE_OBRA!$Q$10:$Q$72,0))),"")</f>
        <v>477.459</v>
      </c>
      <c r="K150" s="342">
        <f>IFERROR(IF(B150="","",_xlfn.LET(_xlpm.clave_prof,B150&amp;"|"&amp;E150,_xlpm.clave_todas,B150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50" s="75">
        <f>IFERROR(IF(B150="","",IF(I150="",0,I150)+IF(J150="",0,J150)+IF(K150="",0,K150)),"")</f>
        <v>2485.9590000000003</v>
      </c>
      <c r="M150" s="75">
        <f>IFERROR(IF(L150="","",L150*$D$8),"")</f>
        <v>3107.4487500000005</v>
      </c>
      <c r="N150" s="76">
        <f>IFERROR(IF(M150="","",CEILING(M150,50)),"")</f>
        <v>3150</v>
      </c>
      <c r="O150" s="77">
        <v>0</v>
      </c>
      <c r="P150" s="78">
        <f>IFERROR(IF(G150="","",G150*N150*(1-O150)),"")</f>
        <v>3150</v>
      </c>
      <c r="Q150" s="79"/>
    </row>
    <row r="151" spans="1:17" ht="19.5" customHeight="1" x14ac:dyDescent="0.2">
      <c r="A151" s="72" t="s">
        <v>1644</v>
      </c>
      <c r="B151" s="69" t="s">
        <v>195</v>
      </c>
      <c r="C151" s="69">
        <v>55</v>
      </c>
      <c r="D151" s="69">
        <v>200</v>
      </c>
      <c r="E151" s="69" t="s">
        <v>97</v>
      </c>
      <c r="F151" s="69" t="s">
        <v>178</v>
      </c>
      <c r="G151" s="69">
        <v>1</v>
      </c>
      <c r="H151" s="73">
        <f>IFERROR(IF(B151="","",(C151/100)*(D151/100)),"")</f>
        <v>1.1000000000000001</v>
      </c>
      <c r="I151" s="74">
        <f>IFERROR(IF(B151="","",_xlfn.LET(_xlpm.tamano,IF(H151&lt;=0.5,"CHICO",IF(H151&lt;=1,"MEDIANO","GRANDE")),_xlpm.clave,B151&amp;"|"&amp;_xlpm.tamano,_xlpm.fila,MATCH(_xlpm.clave,COSTOS_M2!$H$5:$H$67,0),_xlpm.mat_m2,INDEX(IF(F151="HUANACAXTLE",COSTOS_M2!$D$5:$D$67,IF(F151="ENCINO",COSTOS_M2!$E$5:$E$67,COSTOS_M2!$F$5:$F$67)),_xlpm.fila),_xlpm.cons_m2,INDEX(COSTOS_M2!$G$5:$G$67,_xlpm.fila),_xlpm.prof_factor,IF(AND(E151&lt;&gt;"—",E151&lt;&gt;"",ISNUMBER(E151)),POWER(E151/40,1.8),1),_xlpm.total_m2,(_xlpm.mat_m2+_xlpm.cons_m2)*H151*_xlpm.prof_factor*IF(C151&gt;70,COSTOS_M2!$B$70,1)*IF(D151&gt;244,COSTOS_M2!$B$71,1),_xlpm.total_m2)),"")</f>
        <v>740.30000000000007</v>
      </c>
      <c r="J151" s="74">
        <f>IFERROR(IF(B151="","",INDEX(MANO_DE_OBRA!$P$10:$P$72,MATCH(B151&amp;"|"&amp;IF(H151&lt;=0.5,"CHICO",IF(H151&lt;=1,"MEDIANO","GRANDE")),MANO_DE_OBRA!$Q$10:$Q$72,0))),"")</f>
        <v>614.34549000000015</v>
      </c>
      <c r="K151" s="342">
        <f>IFERROR(IF(B151="","",_xlfn.LET(_xlpm.clave_prof,B151&amp;"|"&amp;E151,_xlpm.clave_todas,B151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51" s="75">
        <f>IFERROR(IF(B151="","",IF(I151="",0,I151)+IF(J151="",0,J151)+IF(K151="",0,K151)),"")</f>
        <v>1354.6454900000003</v>
      </c>
      <c r="M151" s="75">
        <f>IFERROR(IF(L151="","",L151*$D$8),"")</f>
        <v>1693.3068625000005</v>
      </c>
      <c r="N151" s="76">
        <f>IFERROR(IF(M151="","",CEILING(M151,50)),"")</f>
        <v>1700</v>
      </c>
      <c r="O151" s="77">
        <v>0</v>
      </c>
      <c r="P151" s="78">
        <f>IFERROR(IF(G151="","",G151*N151*(1-O151)),"")</f>
        <v>1700</v>
      </c>
      <c r="Q151" s="79"/>
    </row>
    <row r="152" spans="1:17" ht="19.5" customHeight="1" x14ac:dyDescent="0.2">
      <c r="A152" s="72" t="s">
        <v>1644</v>
      </c>
      <c r="B152" s="69" t="s">
        <v>195</v>
      </c>
      <c r="C152" s="69">
        <v>55</v>
      </c>
      <c r="D152" s="69">
        <v>106</v>
      </c>
      <c r="E152" s="69" t="s">
        <v>97</v>
      </c>
      <c r="F152" s="69" t="s">
        <v>178</v>
      </c>
      <c r="G152" s="69">
        <v>1</v>
      </c>
      <c r="H152" s="73">
        <f>IFERROR(IF(B152="","",(C152/100)*(D152/100)),"")</f>
        <v>0.58300000000000007</v>
      </c>
      <c r="I152" s="74">
        <f>IFERROR(IF(B152="","",_xlfn.LET(_xlpm.tamano,IF(H152&lt;=0.5,"CHICO",IF(H152&lt;=1,"MEDIANO","GRANDE")),_xlpm.clave,B152&amp;"|"&amp;_xlpm.tamano,_xlpm.fila,MATCH(_xlpm.clave,COSTOS_M2!$H$5:$H$67,0),_xlpm.mat_m2,INDEX(IF(F152="HUANACAXTLE",COSTOS_M2!$D$5:$D$67,IF(F152="ENCINO",COSTOS_M2!$E$5:$E$67,COSTOS_M2!$F$5:$F$67)),_xlpm.fila),_xlpm.cons_m2,INDEX(COSTOS_M2!$G$5:$G$67,_xlpm.fila),_xlpm.prof_factor,IF(AND(E152&lt;&gt;"—",E152&lt;&gt;"",ISNUMBER(E152)),POWER(E152/40,1.8),1),_xlpm.total_m2,(_xlpm.mat_m2+_xlpm.cons_m2)*H152*_xlpm.prof_factor*IF(C152&gt;70,COSTOS_M2!$B$70,1)*IF(D152&gt;244,COSTOS_M2!$B$71,1),_xlpm.total_m2)),"")</f>
        <v>409.26600000000008</v>
      </c>
      <c r="J152" s="74">
        <f>IFERROR(IF(B152="","",INDEX(MANO_DE_OBRA!$P$10:$P$72,MATCH(B152&amp;"|"&amp;IF(H152&lt;=0.5,"CHICO",IF(H152&lt;=1,"MEDIANO","GRANDE")),MANO_DE_OBRA!$Q$10:$Q$72,0))),"")</f>
        <v>469.28723999999994</v>
      </c>
      <c r="K152" s="342">
        <f>IFERROR(IF(B152="","",_xlfn.LET(_xlpm.clave_prof,B152&amp;"|"&amp;E152,_xlpm.clave_todas,B152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52" s="75">
        <f>IFERROR(IF(B152="","",IF(I152="",0,I152)+IF(J152="",0,J152)+IF(K152="",0,K152)),"")</f>
        <v>878.55323999999996</v>
      </c>
      <c r="M152" s="75">
        <f>IFERROR(IF(L152="","",L152*$D$8),"")</f>
        <v>1098.19155</v>
      </c>
      <c r="N152" s="76">
        <f>IFERROR(IF(M152="","",CEILING(M152,50)),"")</f>
        <v>1100</v>
      </c>
      <c r="O152" s="77">
        <v>0</v>
      </c>
      <c r="P152" s="78">
        <f>IFERROR(IF(G152="","",G152*N152*(1-O152)),"")</f>
        <v>1100</v>
      </c>
      <c r="Q152" s="79"/>
    </row>
    <row r="153" spans="1:17" ht="19.5" customHeight="1" x14ac:dyDescent="0.2">
      <c r="A153" s="72" t="s">
        <v>1644</v>
      </c>
      <c r="B153" s="69" t="s">
        <v>196</v>
      </c>
      <c r="C153" s="69">
        <v>55</v>
      </c>
      <c r="D153" s="69">
        <v>200</v>
      </c>
      <c r="E153" s="69" t="s">
        <v>97</v>
      </c>
      <c r="F153" s="69" t="s">
        <v>178</v>
      </c>
      <c r="G153" s="69">
        <v>1</v>
      </c>
      <c r="H153" s="73">
        <f>IFERROR(IF(B153="","",(C153/100)*(D153/100)),"")</f>
        <v>1.1000000000000001</v>
      </c>
      <c r="I153" s="74">
        <f>IFERROR(IF(B153="","",_xlfn.LET(_xlpm.tamano,IF(H153&lt;=0.5,"CHICO",IF(H153&lt;=1,"MEDIANO","GRANDE")),_xlpm.clave,B153&amp;"|"&amp;_xlpm.tamano,_xlpm.fila,MATCH(_xlpm.clave,COSTOS_M2!$H$5:$H$67,0),_xlpm.mat_m2,INDEX(IF(F153="HUANACAXTLE",COSTOS_M2!$D$5:$D$67,IF(F153="ENCINO",COSTOS_M2!$E$5:$E$67,COSTOS_M2!$F$5:$F$67)),_xlpm.fila),_xlpm.cons_m2,INDEX(COSTOS_M2!$G$5:$G$67,_xlpm.fila),_xlpm.prof_factor,IF(AND(E153&lt;&gt;"—",E153&lt;&gt;"",ISNUMBER(E153)),POWER(E153/40,1.8),1),_xlpm.total_m2,(_xlpm.mat_m2+_xlpm.cons_m2)*H153*_xlpm.prof_factor*IF(C153&gt;70,COSTOS_M2!$B$70,1)*IF(D153&gt;244,COSTOS_M2!$B$71,1),_xlpm.total_m2)),"")</f>
        <v>888.80000000000007</v>
      </c>
      <c r="J153" s="74">
        <f>IFERROR(IF(B153="","",INDEX(MANO_DE_OBRA!$P$10:$P$72,MATCH(B153&amp;"|"&amp;IF(H153&lt;=0.5,"CHICO",IF(H153&lt;=1,"MEDIANO","GRANDE")),MANO_DE_OBRA!$Q$10:$Q$72,0))),"")</f>
        <v>762.95904000000007</v>
      </c>
      <c r="K153" s="342">
        <f>IFERROR(IF(B153="","",_xlfn.LET(_xlpm.clave_prof,B153&amp;"|"&amp;E153,_xlpm.clave_todas,B153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53" s="75">
        <f>IFERROR(IF(B153="","",IF(I153="",0,I153)+IF(J153="",0,J153)+IF(K153="",0,K153)),"")</f>
        <v>1651.7590400000001</v>
      </c>
      <c r="M153" s="75">
        <f>IFERROR(IF(L153="","",L153*$D$8),"")</f>
        <v>2064.6988000000001</v>
      </c>
      <c r="N153" s="76">
        <f>IFERROR(IF(M153="","",CEILING(M153,50)),"")</f>
        <v>2100</v>
      </c>
      <c r="O153" s="77">
        <v>0</v>
      </c>
      <c r="P153" s="78">
        <f>IFERROR(IF(G153="","",G153*N153*(1-O153)),"")</f>
        <v>2100</v>
      </c>
      <c r="Q153" s="79"/>
    </row>
    <row r="154" spans="1:17" ht="19.5" customHeight="1" x14ac:dyDescent="0.2">
      <c r="A154" s="72" t="s">
        <v>1644</v>
      </c>
      <c r="B154" s="69" t="s">
        <v>196</v>
      </c>
      <c r="C154" s="69">
        <v>55</v>
      </c>
      <c r="D154" s="69">
        <v>106</v>
      </c>
      <c r="E154" s="69" t="s">
        <v>97</v>
      </c>
      <c r="F154" s="69" t="s">
        <v>178</v>
      </c>
      <c r="G154" s="69">
        <v>1</v>
      </c>
      <c r="H154" s="73">
        <f>IFERROR(IF(B154="","",(C154/100)*(D154/100)),"")</f>
        <v>0.58300000000000007</v>
      </c>
      <c r="I154" s="74">
        <f>IFERROR(IF(B154="","",_xlfn.LET(_xlpm.tamano,IF(H154&lt;=0.5,"CHICO",IF(H154&lt;=1,"MEDIANO","GRANDE")),_xlpm.clave,B154&amp;"|"&amp;_xlpm.tamano,_xlpm.fila,MATCH(_xlpm.clave,COSTOS_M2!$H$5:$H$67,0),_xlpm.mat_m2,INDEX(IF(F154="HUANACAXTLE",COSTOS_M2!$D$5:$D$67,IF(F154="ENCINO",COSTOS_M2!$E$5:$E$67,COSTOS_M2!$F$5:$F$67)),_xlpm.fila),_xlpm.cons_m2,INDEX(COSTOS_M2!$G$5:$G$67,_xlpm.fila),_xlpm.prof_factor,IF(AND(E154&lt;&gt;"—",E154&lt;&gt;"",ISNUMBER(E154)),POWER(E154/40,1.8),1),_xlpm.total_m2,(_xlpm.mat_m2+_xlpm.cons_m2)*H154*_xlpm.prof_factor*IF(C154&gt;70,COSTOS_M2!$B$70,1)*IF(D154&gt;244,COSTOS_M2!$B$71,1),_xlpm.total_m2)),"")</f>
        <v>487.38800000000003</v>
      </c>
      <c r="J154" s="74">
        <f>IFERROR(IF(B154="","",INDEX(MANO_DE_OBRA!$P$10:$P$72,MATCH(B154&amp;"|"&amp;IF(H154&lt;=0.5,"CHICO",IF(H154&lt;=1,"MEDIANO","GRANDE")),MANO_DE_OBRA!$Q$10:$Q$72,0))),"")</f>
        <v>520.05040499999996</v>
      </c>
      <c r="K154" s="342">
        <f>IFERROR(IF(B154="","",_xlfn.LET(_xlpm.clave_prof,B154&amp;"|"&amp;E154,_xlpm.clave_todas,B154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54" s="75">
        <f>IFERROR(IF(B154="","",IF(I154="",0,I154)+IF(J154="",0,J154)+IF(K154="",0,K154)),"")</f>
        <v>1007.438405</v>
      </c>
      <c r="M154" s="75">
        <f>IFERROR(IF(L154="","",L154*$D$8),"")</f>
        <v>1259.2980062500001</v>
      </c>
      <c r="N154" s="76">
        <f>IFERROR(IF(M154="","",CEILING(M154,50)),"")</f>
        <v>1300</v>
      </c>
      <c r="O154" s="77">
        <v>0</v>
      </c>
      <c r="P154" s="78">
        <f>IFERROR(IF(G154="","",G154*N154*(1-O154)),"")</f>
        <v>1300</v>
      </c>
      <c r="Q154" s="79"/>
    </row>
    <row r="155" spans="1:17" ht="19.5" customHeight="1" x14ac:dyDescent="0.2">
      <c r="A155" s="72" t="s">
        <v>1644</v>
      </c>
      <c r="B155" s="69" t="s">
        <v>192</v>
      </c>
      <c r="C155" s="69">
        <v>55</v>
      </c>
      <c r="D155" s="69">
        <v>220</v>
      </c>
      <c r="E155" s="69" t="s">
        <v>97</v>
      </c>
      <c r="F155" s="69" t="s">
        <v>178</v>
      </c>
      <c r="G155" s="69">
        <v>1</v>
      </c>
      <c r="H155" s="73">
        <f>IFERROR(IF(B155="","",(C155/100)*(D155/100)),"")</f>
        <v>1.2100000000000002</v>
      </c>
      <c r="I155" s="74">
        <f>IFERROR(IF(B155="","",_xlfn.LET(_xlpm.tamano,IF(H155&lt;=0.5,"CHICO",IF(H155&lt;=1,"MEDIANO","GRANDE")),_xlpm.clave,B155&amp;"|"&amp;_xlpm.tamano,_xlpm.fila,MATCH(_xlpm.clave,COSTOS_M2!$H$5:$H$67,0),_xlpm.mat_m2,INDEX(IF(F155="HUANACAXTLE",COSTOS_M2!$D$5:$D$67,IF(F155="ENCINO",COSTOS_M2!$E$5:$E$67,COSTOS_M2!$F$5:$F$67)),_xlpm.fila),_xlpm.cons_m2,INDEX(COSTOS_M2!$G$5:$G$67,_xlpm.fila),_xlpm.prof_factor,IF(AND(E155&lt;&gt;"—",E155&lt;&gt;"",ISNUMBER(E155)),POWER(E155/40,1.8),1),_xlpm.total_m2,(_xlpm.mat_m2+_xlpm.cons_m2)*H155*_xlpm.prof_factor*IF(C155&gt;70,COSTOS_M2!$B$70,1)*IF(D155&gt;244,COSTOS_M2!$B$71,1),_xlpm.total_m2)),"")</f>
        <v>833.69000000000017</v>
      </c>
      <c r="J155" s="74">
        <f>IFERROR(IF(B155="","",INDEX(MANO_DE_OBRA!$P$10:$P$72,MATCH(B155&amp;"|"&amp;IF(H155&lt;=0.5,"CHICO",IF(H155&lt;=1,"MEDIANO","GRANDE")),MANO_DE_OBRA!$Q$10:$Q$72,0))),"")</f>
        <v>587.22913499999993</v>
      </c>
      <c r="K155" s="342">
        <f>IFERROR(IF(B155="","",_xlfn.LET(_xlpm.clave_prof,B155&amp;"|"&amp;E155,_xlpm.clave_todas,B155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55" s="75">
        <f>IFERROR(IF(B155="","",IF(I155="",0,I155)+IF(J155="",0,J155)+IF(K155="",0,K155)),"")</f>
        <v>1420.9191350000001</v>
      </c>
      <c r="M155" s="75">
        <f>IFERROR(IF(L155="","",L155*$D$8),"")</f>
        <v>1776.1489187500001</v>
      </c>
      <c r="N155" s="76">
        <f>IFERROR(IF(M155="","",CEILING(M155,50)),"")</f>
        <v>1800</v>
      </c>
      <c r="O155" s="77">
        <v>0</v>
      </c>
      <c r="P155" s="78">
        <f>IFERROR(IF(G155="","",G155*N155*(1-O155)),"")</f>
        <v>1800</v>
      </c>
      <c r="Q155" s="79"/>
    </row>
    <row r="156" spans="1:17" ht="19.5" customHeight="1" x14ac:dyDescent="0.2">
      <c r="A156" s="72" t="s">
        <v>1644</v>
      </c>
      <c r="B156" s="69" t="s">
        <v>193</v>
      </c>
      <c r="C156" s="69">
        <v>55</v>
      </c>
      <c r="D156" s="69">
        <v>220</v>
      </c>
      <c r="E156" s="69" t="s">
        <v>97</v>
      </c>
      <c r="F156" s="69" t="s">
        <v>178</v>
      </c>
      <c r="G156" s="69">
        <v>3</v>
      </c>
      <c r="H156" s="73">
        <f>IFERROR(IF(B156="","",(C156/100)*(D156/100)),"")</f>
        <v>1.2100000000000002</v>
      </c>
      <c r="I156" s="74">
        <f>IFERROR(IF(B156="","",_xlfn.LET(_xlpm.tamano,IF(H156&lt;=0.5,"CHICO",IF(H156&lt;=1,"MEDIANO","GRANDE")),_xlpm.clave,B156&amp;"|"&amp;_xlpm.tamano,_xlpm.fila,MATCH(_xlpm.clave,COSTOS_M2!$H$5:$H$67,0),_xlpm.mat_m2,INDEX(IF(F156="HUANACAXTLE",COSTOS_M2!$D$5:$D$67,IF(F156="ENCINO",COSTOS_M2!$E$5:$E$67,COSTOS_M2!$F$5:$F$67)),_xlpm.fila),_xlpm.cons_m2,INDEX(COSTOS_M2!$G$5:$G$67,_xlpm.fila),_xlpm.prof_factor,IF(AND(E156&lt;&gt;"—",E156&lt;&gt;"",ISNUMBER(E156)),POWER(E156/40,1.8),1),_xlpm.total_m2,(_xlpm.mat_m2+_xlpm.cons_m2)*H156*_xlpm.prof_factor*IF(C156&gt;70,COSTOS_M2!$B$70,1)*IF(D156&gt;244,COSTOS_M2!$B$71,1),_xlpm.total_m2)),"")</f>
        <v>1370.9300000000003</v>
      </c>
      <c r="J156" s="74">
        <f>IFERROR(IF(B156="","",INDEX(MANO_DE_OBRA!$P$10:$P$72,MATCH(B156&amp;"|"&amp;IF(H156&lt;=0.5,"CHICO",IF(H156&lt;=1,"MEDIANO","GRANDE")),MANO_DE_OBRA!$Q$10:$Q$72,0))),"")</f>
        <v>751.15698000000009</v>
      </c>
      <c r="K156" s="342">
        <f>IFERROR(IF(B156="","",_xlfn.LET(_xlpm.clave_prof,B156&amp;"|"&amp;E156,_xlpm.clave_todas,B156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56" s="75">
        <f>IFERROR(IF(B156="","",IF(I156="",0,I156)+IF(J156="",0,J156)+IF(K156="",0,K156)),"")</f>
        <v>2122.0869800000005</v>
      </c>
      <c r="M156" s="75">
        <f>IFERROR(IF(L156="","",L156*$D$8),"")</f>
        <v>2652.6087250000005</v>
      </c>
      <c r="N156" s="76">
        <f>IFERROR(IF(M156="","",CEILING(M156,50)),"")</f>
        <v>2700</v>
      </c>
      <c r="O156" s="77">
        <v>0</v>
      </c>
      <c r="P156" s="78">
        <f>IFERROR(IF(G156="","",G156*N156*(1-O156)),"")</f>
        <v>8100</v>
      </c>
      <c r="Q156" s="79"/>
    </row>
    <row r="157" spans="1:17" ht="19.5" customHeight="1" x14ac:dyDescent="0.2">
      <c r="A157" s="72" t="s">
        <v>1644</v>
      </c>
      <c r="B157" s="69" t="s">
        <v>1623</v>
      </c>
      <c r="C157" s="69">
        <v>55</v>
      </c>
      <c r="D157" s="69">
        <v>100</v>
      </c>
      <c r="E157" s="69" t="s">
        <v>97</v>
      </c>
      <c r="F157" s="69" t="s">
        <v>178</v>
      </c>
      <c r="G157" s="69">
        <v>3</v>
      </c>
      <c r="H157" s="73">
        <f>IFERROR(IF(B157="","",(C157/100)*(D157/100)),"")</f>
        <v>0.55000000000000004</v>
      </c>
      <c r="I157" s="74">
        <f>IFERROR(IF(B157="","",_xlfn.LET(_xlpm.tamano,IF(H157&lt;=0.5,"CHICO",IF(H157&lt;=1,"MEDIANO","GRANDE")),_xlpm.clave,B157&amp;"|"&amp;_xlpm.tamano,_xlpm.fila,MATCH(_xlpm.clave,COSTOS_M2!$H$5:$H$67,0),_xlpm.mat_m2,INDEX(IF(F157="HUANACAXTLE",COSTOS_M2!$D$5:$D$67,IF(F157="ENCINO",COSTOS_M2!$E$5:$E$67,COSTOS_M2!$F$5:$F$67)),_xlpm.fila),_xlpm.cons_m2,INDEX(COSTOS_M2!$G$5:$G$67,_xlpm.fila),_xlpm.prof_factor,IF(AND(E157&lt;&gt;"—",E157&lt;&gt;"",ISNUMBER(E157)),POWER(E157/40,1.8),1),_xlpm.total_m2,(_xlpm.mat_m2+_xlpm.cons_m2)*H157*_xlpm.prof_factor*IF(C157&gt;70,COSTOS_M2!$B$70,1)*IF(D157&gt;244,COSTOS_M2!$B$71,1),_xlpm.total_m2)),"")</f>
        <v>431.75000000000006</v>
      </c>
      <c r="J157" s="74">
        <f>IFERROR(IF(B157="","",INDEX(MANO_DE_OBRA!$P$10:$P$72,MATCH(B157&amp;"|"&amp;IF(H157&lt;=0.5,"CHICO",IF(H157&lt;=1,"MEDIANO","GRANDE")),MANO_DE_OBRA!$Q$10:$Q$72,0))),"")</f>
        <v>400.55880000000002</v>
      </c>
      <c r="K157" s="342">
        <f>IFERROR(IF(B157="","",_xlfn.LET(_xlpm.clave_prof,B157&amp;"|"&amp;E157,_xlpm.clave_todas,B157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57" s="75">
        <f>IFERROR(IF(B157="","",IF(I157="",0,I157)+IF(J157="",0,J157)+IF(K157="",0,K157)),"")</f>
        <v>832.30880000000002</v>
      </c>
      <c r="M157" s="75">
        <f>IFERROR(IF(L157="","",L157*$D$8),"")</f>
        <v>1040.386</v>
      </c>
      <c r="N157" s="76">
        <f>IFERROR(IF(M157="","",CEILING(M157,50)),"")</f>
        <v>1050</v>
      </c>
      <c r="O157" s="77">
        <v>0</v>
      </c>
      <c r="P157" s="78">
        <f>IFERROR(IF(G157="","",G157*N157*(1-O157)),"")</f>
        <v>3150</v>
      </c>
      <c r="Q157" s="79"/>
    </row>
    <row r="158" spans="1:17" ht="19.5" customHeight="1" x14ac:dyDescent="0.2">
      <c r="A158" s="72" t="s">
        <v>1644</v>
      </c>
      <c r="B158" s="69" t="s">
        <v>203</v>
      </c>
      <c r="C158" s="69" t="s">
        <v>205</v>
      </c>
      <c r="D158" s="69">
        <v>100</v>
      </c>
      <c r="E158" s="69" t="s">
        <v>97</v>
      </c>
      <c r="F158" s="69" t="s">
        <v>178</v>
      </c>
      <c r="G158" s="69">
        <v>6</v>
      </c>
      <c r="H158" s="73" t="str">
        <f>IFERROR(IF(B158="","",(C158/100)*(D158/100)),"")</f>
        <v/>
      </c>
      <c r="I158" s="74" t="str">
        <f>IFERROR(IF(B158="","",_xlfn.LET(_xlpm.tamano,IF(H158&lt;=0.5,"CHICO",IF(H158&lt;=1,"MEDIANO","GRANDE")),_xlpm.clave,B158&amp;"|"&amp;_xlpm.tamano,_xlpm.fila,MATCH(_xlpm.clave,COSTOS_M2!$H$5:$H$67,0),_xlpm.mat_m2,INDEX(IF(F158="HUANACAXTLE",COSTOS_M2!$D$5:$D$67,IF(F158="ENCINO",COSTOS_M2!$E$5:$E$67,COSTOS_M2!$F$5:$F$67)),_xlpm.fila),_xlpm.cons_m2,INDEX(COSTOS_M2!$G$5:$G$67,_xlpm.fila),_xlpm.prof_factor,IF(AND(E158&lt;&gt;"—",E158&lt;&gt;"",ISNUMBER(E158)),POWER(E158/40,1.8),1),_xlpm.total_m2,(_xlpm.mat_m2+_xlpm.cons_m2)*H158*_xlpm.prof_factor*IF(C158&gt;70,COSTOS_M2!$B$70,1)*IF(D158&gt;244,COSTOS_M2!$B$71,1),_xlpm.total_m2)),"")</f>
        <v/>
      </c>
      <c r="J158" s="74">
        <f>IFERROR(IF(B158="","",INDEX(MANO_DE_OBRA!$P$10:$P$72,MATCH(B158&amp;"|"&amp;IF(H158&lt;=0.5,"CHICO",IF(H158&lt;=1,"MEDIANO","GRANDE")),MANO_DE_OBRA!$Q$10:$Q$72,0))),"")</f>
        <v>25.592999999999996</v>
      </c>
      <c r="K158" s="342">
        <f>IFERROR(IF(B158="","",_xlfn.LET(_xlpm.clave_prof,B158&amp;"|"&amp;E158,_xlpm.clave_todas,B158&amp;"|TODAS",_xlpm.herr_prof,SUMIFS(HERRAJES!$H$5:$H$36,HERRAJES!$J$5:$J$36,_xlpm.clave_prof),_xlpm.herr_todas,SUMIFS(HERRAJES!$H$5:$H$36,HERRAJES!$J$5:$J$36,_xlpm.clave_todas),IF(_xlpm.herr_prof&gt;0,_xlpm.herr_prof,_xlpm.herr_todas))),"")</f>
        <v>2.74</v>
      </c>
      <c r="L158" s="75">
        <f>IFERROR(IF(B158="","",IF(I158="",0,I158)+IF(J158="",0,J158)+IF(K158="",0,K158)),"")</f>
        <v>28.332999999999998</v>
      </c>
      <c r="M158" s="75">
        <f>IFERROR(IF(L158="","",L158*$D$8),"")</f>
        <v>35.416249999999998</v>
      </c>
      <c r="N158" s="76">
        <f>IFERROR(IF(M158="","",CEILING(M158,50)),"")</f>
        <v>50</v>
      </c>
      <c r="O158" s="77">
        <v>0</v>
      </c>
      <c r="P158" s="78">
        <f>IFERROR(IF(G158="","",G158*N158*(1-O158)),"")</f>
        <v>300</v>
      </c>
      <c r="Q158" s="79"/>
    </row>
    <row r="159" spans="1:17" ht="19.5" customHeight="1" x14ac:dyDescent="0.2">
      <c r="A159" s="72" t="s">
        <v>1644</v>
      </c>
      <c r="B159" s="69" t="s">
        <v>195</v>
      </c>
      <c r="C159" s="69">
        <v>33</v>
      </c>
      <c r="D159" s="69">
        <v>100</v>
      </c>
      <c r="E159" s="69" t="s">
        <v>97</v>
      </c>
      <c r="F159" s="69" t="s">
        <v>178</v>
      </c>
      <c r="G159" s="69">
        <v>1</v>
      </c>
      <c r="H159" s="73">
        <f>IFERROR(IF(B159="","",(C159/100)*(D159/100)),"")</f>
        <v>0.33</v>
      </c>
      <c r="I159" s="74">
        <f>IFERROR(IF(B159="","",_xlfn.LET(_xlpm.tamano,IF(H159&lt;=0.5,"CHICO",IF(H159&lt;=1,"MEDIANO","GRANDE")),_xlpm.clave,B159&amp;"|"&amp;_xlpm.tamano,_xlpm.fila,MATCH(_xlpm.clave,COSTOS_M2!$H$5:$H$67,0),_xlpm.mat_m2,INDEX(IF(F159="HUANACAXTLE",COSTOS_M2!$D$5:$D$67,IF(F159="ENCINO",COSTOS_M2!$E$5:$E$67,COSTOS_M2!$F$5:$F$67)),_xlpm.fila),_xlpm.cons_m2,INDEX(COSTOS_M2!$G$5:$G$67,_xlpm.fila),_xlpm.prof_factor,IF(AND(E159&lt;&gt;"—",E159&lt;&gt;"",ISNUMBER(E159)),POWER(E159/40,1.8),1),_xlpm.total_m2,(_xlpm.mat_m2+_xlpm.cons_m2)*H159*_xlpm.prof_factor*IF(C159&gt;70,COSTOS_M2!$B$70,1)*IF(D159&gt;244,COSTOS_M2!$B$71,1),_xlpm.total_m2)),"")</f>
        <v>244.86</v>
      </c>
      <c r="J159" s="74">
        <f>IFERROR(IF(B159="","",INDEX(MANO_DE_OBRA!$P$10:$P$72,MATCH(B159&amp;"|"&amp;IF(H159&lt;=0.5,"CHICO",IF(H159&lt;=1,"MEDIANO","GRANDE")),MANO_DE_OBRA!$Q$10:$Q$72,0))),"")</f>
        <v>395.78996999999998</v>
      </c>
      <c r="K159" s="342">
        <f>IFERROR(IF(B159="","",_xlfn.LET(_xlpm.clave_prof,B159&amp;"|"&amp;E159,_xlpm.clave_todas,B159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59" s="75">
        <f>IFERROR(IF(B159="","",IF(I159="",0,I159)+IF(J159="",0,J159)+IF(K159="",0,K159)),"")</f>
        <v>640.64996999999994</v>
      </c>
      <c r="M159" s="75">
        <f>IFERROR(IF(L159="","",L159*$D$8),"")</f>
        <v>800.81246249999992</v>
      </c>
      <c r="N159" s="76">
        <f>IFERROR(IF(M159="","",CEILING(M159,50)),"")</f>
        <v>850</v>
      </c>
      <c r="O159" s="77">
        <v>0</v>
      </c>
      <c r="P159" s="78">
        <f>IFERROR(IF(G159="","",G159*N159*(1-O159)),"")</f>
        <v>850</v>
      </c>
      <c r="Q159" s="79"/>
    </row>
    <row r="160" spans="1:17" ht="19.5" customHeight="1" x14ac:dyDescent="0.2">
      <c r="A160" s="72" t="s">
        <v>1644</v>
      </c>
      <c r="B160" s="69" t="s">
        <v>196</v>
      </c>
      <c r="C160" s="69">
        <v>33</v>
      </c>
      <c r="D160" s="69">
        <v>100</v>
      </c>
      <c r="E160" s="69" t="s">
        <v>97</v>
      </c>
      <c r="F160" s="69" t="s">
        <v>178</v>
      </c>
      <c r="G160" s="69">
        <v>1</v>
      </c>
      <c r="H160" s="73">
        <f>IFERROR(IF(B160="","",(C160/100)*(D160/100)),"")</f>
        <v>0.33</v>
      </c>
      <c r="I160" s="74">
        <f>IFERROR(IF(B160="","",_xlfn.LET(_xlpm.tamano,IF(H160&lt;=0.5,"CHICO",IF(H160&lt;=1,"MEDIANO","GRANDE")),_xlpm.clave,B160&amp;"|"&amp;_xlpm.tamano,_xlpm.fila,MATCH(_xlpm.clave,COSTOS_M2!$H$5:$H$67,0),_xlpm.mat_m2,INDEX(IF(F160="HUANACAXTLE",COSTOS_M2!$D$5:$D$67,IF(F160="ENCINO",COSTOS_M2!$E$5:$E$67,COSTOS_M2!$F$5:$F$67)),_xlpm.fila),_xlpm.cons_m2,INDEX(COSTOS_M2!$G$5:$G$67,_xlpm.fila),_xlpm.prof_factor,IF(AND(E160&lt;&gt;"—",E160&lt;&gt;"",ISNUMBER(E160)),POWER(E160/40,1.8),1),_xlpm.total_m2,(_xlpm.mat_m2+_xlpm.cons_m2)*H160*_xlpm.prof_factor*IF(C160&gt;70,COSTOS_M2!$B$70,1)*IF(D160&gt;244,COSTOS_M2!$B$71,1),_xlpm.total_m2)),"")</f>
        <v>293.04000000000002</v>
      </c>
      <c r="J160" s="74">
        <f>IFERROR(IF(B160="","",INDEX(MANO_DE_OBRA!$P$10:$P$72,MATCH(B160&amp;"|"&amp;IF(H160&lt;=0.5,"CHICO",IF(H160&lt;=1,"MEDIANO","GRANDE")),MANO_DE_OBRA!$Q$10:$Q$72,0))),"")</f>
        <v>404.95226999999994</v>
      </c>
      <c r="K160" s="342">
        <f>IFERROR(IF(B160="","",_xlfn.LET(_xlpm.clave_prof,B160&amp;"|"&amp;E160,_xlpm.clave_todas,B160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60" s="75">
        <f>IFERROR(IF(B160="","",IF(I160="",0,I160)+IF(J160="",0,J160)+IF(K160="",0,K160)),"")</f>
        <v>697.99226999999996</v>
      </c>
      <c r="M160" s="75">
        <f>IFERROR(IF(L160="","",L160*$D$8),"")</f>
        <v>872.4903374999999</v>
      </c>
      <c r="N160" s="76">
        <f>IFERROR(IF(M160="","",CEILING(M160,50)),"")</f>
        <v>900</v>
      </c>
      <c r="O160" s="77">
        <v>0</v>
      </c>
      <c r="P160" s="78">
        <f>IFERROR(IF(G160="","",G160*N160*(1-O160)),"")</f>
        <v>900</v>
      </c>
      <c r="Q160" s="79"/>
    </row>
    <row r="161" spans="1:17" ht="19.5" customHeight="1" x14ac:dyDescent="0.2">
      <c r="A161" s="72" t="s">
        <v>1644</v>
      </c>
      <c r="B161" s="69" t="s">
        <v>1623</v>
      </c>
      <c r="C161" s="69">
        <v>33</v>
      </c>
      <c r="D161" s="69">
        <v>100</v>
      </c>
      <c r="E161" s="69" t="s">
        <v>97</v>
      </c>
      <c r="F161" s="69" t="s">
        <v>178</v>
      </c>
      <c r="G161" s="69">
        <v>5</v>
      </c>
      <c r="H161" s="73">
        <f>IFERROR(IF(B161="","",(C161/100)*(D161/100)),"")</f>
        <v>0.33</v>
      </c>
      <c r="I161" s="74">
        <f>IFERROR(IF(B161="","",_xlfn.LET(_xlpm.tamano,IF(H161&lt;=0.5,"CHICO",IF(H161&lt;=1,"MEDIANO","GRANDE")),_xlpm.clave,B161&amp;"|"&amp;_xlpm.tamano,_xlpm.fila,MATCH(_xlpm.clave,COSTOS_M2!$H$5:$H$67,0),_xlpm.mat_m2,INDEX(IF(F161="HUANACAXTLE",COSTOS_M2!$D$5:$D$67,IF(F161="ENCINO",COSTOS_M2!$E$5:$E$67,COSTOS_M2!$F$5:$F$67)),_xlpm.fila),_xlpm.cons_m2,INDEX(COSTOS_M2!$G$5:$G$67,_xlpm.fila),_xlpm.prof_factor,IF(AND(E161&lt;&gt;"—",E161&lt;&gt;"",ISNUMBER(E161)),POWER(E161/40,1.8),1),_xlpm.total_m2,(_xlpm.mat_m2+_xlpm.cons_m2)*H161*_xlpm.prof_factor*IF(C161&gt;70,COSTOS_M2!$B$70,1)*IF(D161&gt;244,COSTOS_M2!$B$71,1),_xlpm.total_m2)),"")</f>
        <v>275.55</v>
      </c>
      <c r="J161" s="74">
        <f>IFERROR(IF(B161="","",INDEX(MANO_DE_OBRA!$P$10:$P$72,MATCH(B161&amp;"|"&amp;IF(H161&lt;=0.5,"CHICO",IF(H161&lt;=1,"MEDIANO","GRANDE")),MANO_DE_OBRA!$Q$10:$Q$72,0))),"")</f>
        <v>265.80149999999998</v>
      </c>
      <c r="K161" s="342">
        <f>IFERROR(IF(B161="","",_xlfn.LET(_xlpm.clave_prof,B161&amp;"|"&amp;E161,_xlpm.clave_todas,B161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61" s="75">
        <f>IFERROR(IF(B161="","",IF(I161="",0,I161)+IF(J161="",0,J161)+IF(K161="",0,K161)),"")</f>
        <v>541.35149999999999</v>
      </c>
      <c r="M161" s="75">
        <f>IFERROR(IF(L161="","",L161*$D$8),"")</f>
        <v>676.68937499999993</v>
      </c>
      <c r="N161" s="76">
        <f>IFERROR(IF(M161="","",CEILING(M161,50)),"")</f>
        <v>700</v>
      </c>
      <c r="O161" s="77">
        <v>0</v>
      </c>
      <c r="P161" s="78">
        <f>IFERROR(IF(G161="","",G161*N161*(1-O161)),"")</f>
        <v>3500</v>
      </c>
      <c r="Q161" s="79"/>
    </row>
    <row r="162" spans="1:17" ht="19.5" customHeight="1" x14ac:dyDescent="0.2">
      <c r="A162" s="72" t="s">
        <v>1644</v>
      </c>
      <c r="B162" s="69" t="s">
        <v>1628</v>
      </c>
      <c r="C162" s="69">
        <v>464</v>
      </c>
      <c r="D162" s="69">
        <v>220</v>
      </c>
      <c r="E162" s="69" t="s">
        <v>97</v>
      </c>
      <c r="F162" s="69" t="s">
        <v>178</v>
      </c>
      <c r="G162" s="69">
        <v>1</v>
      </c>
      <c r="H162" s="73">
        <f>IFERROR(IF(B162="","",(C162/100)*(D162/100)),"")</f>
        <v>10.208</v>
      </c>
      <c r="I162" s="74">
        <f>IFERROR(IF(B162="","",_xlfn.LET(_xlpm.tamano,IF(H162&lt;=0.5,"CHICO",IF(H162&lt;=1,"MEDIANO","GRANDE")),_xlpm.clave,B162&amp;"|"&amp;_xlpm.tamano,_xlpm.fila,MATCH(_xlpm.clave,COSTOS_M2!$H$5:$H$67,0),_xlpm.mat_m2,INDEX(IF(F162="HUANACAXTLE",COSTOS_M2!$D$5:$D$67,IF(F162="ENCINO",COSTOS_M2!$E$5:$E$67,COSTOS_M2!$F$5:$F$67)),_xlpm.fila),_xlpm.cons_m2,INDEX(COSTOS_M2!$G$5:$G$67,_xlpm.fila),_xlpm.prof_factor,IF(AND(E162&lt;&gt;"—",E162&lt;&gt;"",ISNUMBER(E162)),POWER(E162/40,1.8),1),_xlpm.total_m2,(_xlpm.mat_m2+_xlpm.cons_m2)*H162*_xlpm.prof_factor*IF(C162&gt;70,COSTOS_M2!$B$70,1)*IF(D162&gt;244,COSTOS_M2!$B$71,1),_xlpm.total_m2)),"")</f>
        <v>3118.5440000000003</v>
      </c>
      <c r="J162" s="74">
        <f>IFERROR(IF(B162="","",INDEX(MANO_DE_OBRA!$P$10:$P$72,MATCH(B162&amp;"|"&amp;IF(H162&lt;=0.5,"CHICO",IF(H162&lt;=1,"MEDIANO","GRANDE")),MANO_DE_OBRA!$Q$10:$Q$72,0))),"")</f>
        <v>295.7955</v>
      </c>
      <c r="K162" s="342">
        <f>IFERROR(IF(B162="","",_xlfn.LET(_xlpm.clave_prof,B162&amp;"|"&amp;E162,_xlpm.clave_todas,B162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62" s="75">
        <f>IFERROR(IF(B162="","",IF(I162="",0,I162)+IF(J162="",0,J162)+IF(K162="",0,K162)),"")</f>
        <v>3414.3395000000005</v>
      </c>
      <c r="M162" s="75">
        <f>IFERROR(IF(L162="","",L162*$D$8),"")</f>
        <v>4267.9243750000005</v>
      </c>
      <c r="N162" s="76">
        <f>IFERROR(IF(M162="","",CEILING(M162,50)),"")</f>
        <v>4300</v>
      </c>
      <c r="O162" s="77">
        <v>0</v>
      </c>
      <c r="P162" s="78">
        <f>IFERROR(IF(G162="","",G162*N162*(1-O162)),"")</f>
        <v>4300</v>
      </c>
      <c r="Q162" s="79"/>
    </row>
    <row r="163" spans="1:17" ht="19.5" customHeight="1" x14ac:dyDescent="0.2">
      <c r="A163" s="72" t="s">
        <v>1644</v>
      </c>
      <c r="B163" s="69" t="s">
        <v>1627</v>
      </c>
      <c r="C163" s="69">
        <v>5</v>
      </c>
      <c r="D163" s="69">
        <v>470</v>
      </c>
      <c r="E163" s="69" t="s">
        <v>97</v>
      </c>
      <c r="F163" s="69" t="s">
        <v>178</v>
      </c>
      <c r="G163" s="69">
        <v>1</v>
      </c>
      <c r="H163" s="73">
        <f>IFERROR(IF(B163="","",(C163/100)*(D163/100)),"")</f>
        <v>0.23500000000000001</v>
      </c>
      <c r="I163" s="74">
        <f>IFERROR(IF(B163="","",_xlfn.LET(_xlpm.tamano,IF(H163&lt;=0.5,"CHICO",IF(H163&lt;=1,"MEDIANO","GRANDE")),_xlpm.clave,B163&amp;"|"&amp;_xlpm.tamano,_xlpm.fila,MATCH(_xlpm.clave,COSTOS_M2!$H$5:$H$67,0),_xlpm.mat_m2,INDEX(IF(F163="HUANACAXTLE",COSTOS_M2!$D$5:$D$67,IF(F163="ENCINO",COSTOS_M2!$E$5:$E$67,COSTOS_M2!$F$5:$F$67)),_xlpm.fila),_xlpm.cons_m2,INDEX(COSTOS_M2!$G$5:$G$67,_xlpm.fila),_xlpm.prof_factor,IF(AND(E163&lt;&gt;"—",E163&lt;&gt;"",ISNUMBER(E163)),POWER(E163/40,1.8),1),_xlpm.total_m2,(_xlpm.mat_m2+_xlpm.cons_m2)*H163*_xlpm.prof_factor*IF(C163&gt;70,COSTOS_M2!$B$70,1)*IF(D163&gt;244,COSTOS_M2!$B$71,1),_xlpm.total_m2)),"")</f>
        <v>4613.05</v>
      </c>
      <c r="J163" s="74">
        <f>IFERROR(IF(B163="","",INDEX(MANO_DE_OBRA!$P$10:$P$72,MATCH(B163&amp;"|"&amp;IF(H163&lt;=0.5,"CHICO",IF(H163&lt;=1,"MEDIANO","GRANDE")),MANO_DE_OBRA!$Q$10:$Q$72,0))),"")</f>
        <v>679.06049999999993</v>
      </c>
      <c r="K163" s="342">
        <f>IFERROR(IF(B163="","",_xlfn.LET(_xlpm.clave_prof,B163&amp;"|"&amp;E163,_xlpm.clave_todas,B163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63" s="75">
        <f>IFERROR(IF(B163="","",IF(I163="",0,I163)+IF(J163="",0,J163)+IF(K163="",0,K163)),"")</f>
        <v>5292.1104999999998</v>
      </c>
      <c r="M163" s="75">
        <f>IFERROR(IF(L163="","",L163*$D$8),"")</f>
        <v>6615.1381249999995</v>
      </c>
      <c r="N163" s="76">
        <f>IFERROR(IF(M163="","",CEILING(M163,50)),"")</f>
        <v>6650</v>
      </c>
      <c r="O163" s="77">
        <v>0</v>
      </c>
      <c r="P163" s="78">
        <f>IFERROR(IF(G163="","",G163*N163*(1-O163)),"")</f>
        <v>6650</v>
      </c>
      <c r="Q163" s="79"/>
    </row>
    <row r="164" spans="1:17" ht="19.5" customHeight="1" x14ac:dyDescent="0.2">
      <c r="A164" s="72" t="s">
        <v>1644</v>
      </c>
      <c r="B164" s="69" t="s">
        <v>1626</v>
      </c>
      <c r="C164" s="69">
        <v>5</v>
      </c>
      <c r="D164" s="69">
        <v>800</v>
      </c>
      <c r="E164" s="69" t="s">
        <v>97</v>
      </c>
      <c r="F164" s="69" t="s">
        <v>178</v>
      </c>
      <c r="G164" s="69">
        <v>1</v>
      </c>
      <c r="H164" s="73">
        <f>IFERROR(IF(B164="","",(C164/100)*(D164/100)),"")</f>
        <v>0.4</v>
      </c>
      <c r="I164" s="74">
        <f>IFERROR(IF(B164="","",_xlfn.LET(_xlpm.tamano,IF(H164&lt;=0.5,"CHICO",IF(H164&lt;=1,"MEDIANO","GRANDE")),_xlpm.clave,B164&amp;"|"&amp;_xlpm.tamano,_xlpm.fila,MATCH(_xlpm.clave,COSTOS_M2!$H$5:$H$67,0),_xlpm.mat_m2,INDEX(IF(F164="HUANACAXTLE",COSTOS_M2!$D$5:$D$67,IF(F164="ENCINO",COSTOS_M2!$E$5:$E$67,COSTOS_M2!$F$5:$F$67)),_xlpm.fila),_xlpm.cons_m2,INDEX(COSTOS_M2!$G$5:$G$67,_xlpm.fila),_xlpm.prof_factor,IF(AND(E164&lt;&gt;"—",E164&lt;&gt;"",ISNUMBER(E164)),POWER(E164/40,1.8),1),_xlpm.total_m2,(_xlpm.mat_m2+_xlpm.cons_m2)*H164*_xlpm.prof_factor*IF(C164&gt;70,COSTOS_M2!$B$70,1)*IF(D164&gt;244,COSTOS_M2!$B$71,1),_xlpm.total_m2)),"")</f>
        <v>2678</v>
      </c>
      <c r="J164" s="74">
        <f>IFERROR(IF(B164="","",INDEX(MANO_DE_OBRA!$P$10:$P$72,MATCH(B164&amp;"|"&amp;IF(H164&lt;=0.5,"CHICO",IF(H164&lt;=1,"MEDIANO","GRANDE")),MANO_DE_OBRA!$Q$10:$Q$72,0))),"")</f>
        <v>477.459</v>
      </c>
      <c r="K164" s="342">
        <f>IFERROR(IF(B164="","",_xlfn.LET(_xlpm.clave_prof,B164&amp;"|"&amp;E164,_xlpm.clave_todas,B164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64" s="75">
        <f>IFERROR(IF(B164="","",IF(I164="",0,I164)+IF(J164="",0,J164)+IF(K164="",0,K164)),"")</f>
        <v>3155.4589999999998</v>
      </c>
      <c r="M164" s="75">
        <f>IFERROR(IF(L164="","",L164*$D$8),"")</f>
        <v>3944.3237499999996</v>
      </c>
      <c r="N164" s="76">
        <f>IFERROR(IF(M164="","",CEILING(M164,50)),"")</f>
        <v>3950</v>
      </c>
      <c r="O164" s="77">
        <v>0</v>
      </c>
      <c r="P164" s="78">
        <f>IFERROR(IF(G164="","",G164*N164*(1-O164)),"")</f>
        <v>3950</v>
      </c>
      <c r="Q164" s="79"/>
    </row>
    <row r="165" spans="1:17" ht="19.5" customHeight="1" x14ac:dyDescent="0.2">
      <c r="A165" s="72" t="s">
        <v>1645</v>
      </c>
      <c r="B165" s="69" t="s">
        <v>195</v>
      </c>
      <c r="C165" s="69">
        <v>33</v>
      </c>
      <c r="D165" s="69">
        <v>70</v>
      </c>
      <c r="E165" s="69" t="s">
        <v>97</v>
      </c>
      <c r="F165" s="69" t="s">
        <v>178</v>
      </c>
      <c r="G165" s="69">
        <v>2</v>
      </c>
      <c r="H165" s="73">
        <f>IFERROR(IF(B165="","",(C165/100)*(D165/100)),"")</f>
        <v>0.23099999999999998</v>
      </c>
      <c r="I165" s="74">
        <f>IFERROR(IF(B165="","",_xlfn.LET(_xlpm.tamano,IF(H165&lt;=0.5,"CHICO",IF(H165&lt;=1,"MEDIANO","GRANDE")),_xlpm.clave,B165&amp;"|"&amp;_xlpm.tamano,_xlpm.fila,MATCH(_xlpm.clave,COSTOS_M2!$H$5:$H$67,0),_xlpm.mat_m2,INDEX(IF(F165="HUANACAXTLE",COSTOS_M2!$D$5:$D$67,IF(F165="ENCINO",COSTOS_M2!$E$5:$E$67,COSTOS_M2!$F$5:$F$67)),_xlpm.fila),_xlpm.cons_m2,INDEX(COSTOS_M2!$G$5:$G$67,_xlpm.fila),_xlpm.prof_factor,IF(AND(E165&lt;&gt;"—",E165&lt;&gt;"",ISNUMBER(E165)),POWER(E165/40,1.8),1),_xlpm.total_m2,(_xlpm.mat_m2+_xlpm.cons_m2)*H165*_xlpm.prof_factor*IF(C165&gt;70,COSTOS_M2!$B$70,1)*IF(D165&gt;244,COSTOS_M2!$B$71,1),_xlpm.total_m2)),"")</f>
        <v>171.40199999999999</v>
      </c>
      <c r="J165" s="74">
        <f>IFERROR(IF(B165="","",INDEX(MANO_DE_OBRA!$P$10:$P$72,MATCH(B165&amp;"|"&amp;IF(H165&lt;=0.5,"CHICO",IF(H165&lt;=1,"MEDIANO","GRANDE")),MANO_DE_OBRA!$Q$10:$Q$72,0))),"")</f>
        <v>395.78996999999998</v>
      </c>
      <c r="K165" s="342">
        <f>IFERROR(IF(B165="","",_xlfn.LET(_xlpm.clave_prof,B165&amp;"|"&amp;E165,_xlpm.clave_todas,B165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65" s="75">
        <f>IFERROR(IF(B165="","",IF(I165="",0,I165)+IF(J165="",0,J165)+IF(K165="",0,K165)),"")</f>
        <v>567.19196999999997</v>
      </c>
      <c r="M165" s="75">
        <f>IFERROR(IF(L165="","",L165*$D$8),"")</f>
        <v>708.98996249999993</v>
      </c>
      <c r="N165" s="76">
        <f>IFERROR(IF(M165="","",CEILING(M165,50)),"")</f>
        <v>750</v>
      </c>
      <c r="O165" s="77">
        <v>0</v>
      </c>
      <c r="P165" s="78">
        <f>IFERROR(IF(G165="","",G165*N165*(1-O165)),"")</f>
        <v>1500</v>
      </c>
      <c r="Q165" s="79"/>
    </row>
    <row r="166" spans="1:17" ht="19.5" customHeight="1" x14ac:dyDescent="0.2">
      <c r="A166" s="72" t="s">
        <v>1645</v>
      </c>
      <c r="B166" s="69" t="s">
        <v>196</v>
      </c>
      <c r="C166" s="69">
        <v>33</v>
      </c>
      <c r="D166" s="69">
        <v>70</v>
      </c>
      <c r="E166" s="69" t="s">
        <v>97</v>
      </c>
      <c r="F166" s="69" t="s">
        <v>178</v>
      </c>
      <c r="G166" s="69">
        <v>2</v>
      </c>
      <c r="H166" s="73">
        <f>IFERROR(IF(B166="","",(C166/100)*(D166/100)),"")</f>
        <v>0.23099999999999998</v>
      </c>
      <c r="I166" s="74">
        <f>IFERROR(IF(B166="","",_xlfn.LET(_xlpm.tamano,IF(H166&lt;=0.5,"CHICO",IF(H166&lt;=1,"MEDIANO","GRANDE")),_xlpm.clave,B166&amp;"|"&amp;_xlpm.tamano,_xlpm.fila,MATCH(_xlpm.clave,COSTOS_M2!$H$5:$H$67,0),_xlpm.mat_m2,INDEX(IF(F166="HUANACAXTLE",COSTOS_M2!$D$5:$D$67,IF(F166="ENCINO",COSTOS_M2!$E$5:$E$67,COSTOS_M2!$F$5:$F$67)),_xlpm.fila),_xlpm.cons_m2,INDEX(COSTOS_M2!$G$5:$G$67,_xlpm.fila),_xlpm.prof_factor,IF(AND(E166&lt;&gt;"—",E166&lt;&gt;"",ISNUMBER(E166)),POWER(E166/40,1.8),1),_xlpm.total_m2,(_xlpm.mat_m2+_xlpm.cons_m2)*H166*_xlpm.prof_factor*IF(C166&gt;70,COSTOS_M2!$B$70,1)*IF(D166&gt;244,COSTOS_M2!$B$71,1),_xlpm.total_m2)),"")</f>
        <v>205.12799999999999</v>
      </c>
      <c r="J166" s="74">
        <f>IFERROR(IF(B166="","",INDEX(MANO_DE_OBRA!$P$10:$P$72,MATCH(B166&amp;"|"&amp;IF(H166&lt;=0.5,"CHICO",IF(H166&lt;=1,"MEDIANO","GRANDE")),MANO_DE_OBRA!$Q$10:$Q$72,0))),"")</f>
        <v>404.95226999999994</v>
      </c>
      <c r="K166" s="342">
        <f>IFERROR(IF(B166="","",_xlfn.LET(_xlpm.clave_prof,B166&amp;"|"&amp;E166,_xlpm.clave_todas,B166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66" s="75">
        <f>IFERROR(IF(B166="","",IF(I166="",0,I166)+IF(J166="",0,J166)+IF(K166="",0,K166)),"")</f>
        <v>610.08026999999993</v>
      </c>
      <c r="M166" s="75">
        <f>IFERROR(IF(L166="","",L166*$D$8),"")</f>
        <v>762.60033749999991</v>
      </c>
      <c r="N166" s="76">
        <f>IFERROR(IF(M166="","",CEILING(M166,50)),"")</f>
        <v>800</v>
      </c>
      <c r="O166" s="77">
        <v>0</v>
      </c>
      <c r="P166" s="78">
        <f>IFERROR(IF(G166="","",G166*N166*(1-O166)),"")</f>
        <v>1600</v>
      </c>
      <c r="Q166" s="79"/>
    </row>
    <row r="167" spans="1:17" ht="19.5" customHeight="1" x14ac:dyDescent="0.2">
      <c r="A167" s="72" t="s">
        <v>1645</v>
      </c>
      <c r="B167" s="69" t="s">
        <v>193</v>
      </c>
      <c r="C167" s="69">
        <v>33</v>
      </c>
      <c r="D167" s="69">
        <v>240</v>
      </c>
      <c r="E167" s="69" t="s">
        <v>97</v>
      </c>
      <c r="F167" s="69" t="s">
        <v>178</v>
      </c>
      <c r="G167" s="69">
        <v>2</v>
      </c>
      <c r="H167" s="73">
        <f>IFERROR(IF(B167="","",(C167/100)*(D167/100)),"")</f>
        <v>0.79200000000000004</v>
      </c>
      <c r="I167" s="74">
        <f>IFERROR(IF(B167="","",_xlfn.LET(_xlpm.tamano,IF(H167&lt;=0.5,"CHICO",IF(H167&lt;=1,"MEDIANO","GRANDE")),_xlpm.clave,B167&amp;"|"&amp;_xlpm.tamano,_xlpm.fila,MATCH(_xlpm.clave,COSTOS_M2!$H$5:$H$67,0),_xlpm.mat_m2,INDEX(IF(F167="HUANACAXTLE",COSTOS_M2!$D$5:$D$67,IF(F167="ENCINO",COSTOS_M2!$E$5:$E$67,COSTOS_M2!$F$5:$F$67)),_xlpm.fila),_xlpm.cons_m2,INDEX(COSTOS_M2!$G$5:$G$67,_xlpm.fila),_xlpm.prof_factor,IF(AND(E167&lt;&gt;"—",E167&lt;&gt;"",ISNUMBER(E167)),POWER(E167/40,1.8),1),_xlpm.total_m2,(_xlpm.mat_m2+_xlpm.cons_m2)*H167*_xlpm.prof_factor*IF(C167&gt;70,COSTOS_M2!$B$70,1)*IF(D167&gt;244,COSTOS_M2!$B$71,1),_xlpm.total_m2)),"")</f>
        <v>988.41600000000005</v>
      </c>
      <c r="J167" s="74">
        <f>IFERROR(IF(B167="","",INDEX(MANO_DE_OBRA!$P$10:$P$72,MATCH(B167&amp;"|"&amp;IF(H167&lt;=0.5,"CHICO",IF(H167&lt;=1,"MEDIANO","GRANDE")),MANO_DE_OBRA!$Q$10:$Q$72,0))),"")</f>
        <v>608.08929000000001</v>
      </c>
      <c r="K167" s="342">
        <f>IFERROR(IF(B167="","",_xlfn.LET(_xlpm.clave_prof,B167&amp;"|"&amp;E167,_xlpm.clave_todas,B167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67" s="75">
        <f>IFERROR(IF(B167="","",IF(I167="",0,I167)+IF(J167="",0,J167)+IF(K167="",0,K167)),"")</f>
        <v>1596.5052900000001</v>
      </c>
      <c r="M167" s="75">
        <f>IFERROR(IF(L167="","",L167*$D$8),"")</f>
        <v>1995.6316125000001</v>
      </c>
      <c r="N167" s="76">
        <f>IFERROR(IF(M167="","",CEILING(M167,50)),"")</f>
        <v>2000</v>
      </c>
      <c r="O167" s="77">
        <v>0</v>
      </c>
      <c r="P167" s="78">
        <f>IFERROR(IF(G167="","",G167*N167*(1-O167)),"")</f>
        <v>4000</v>
      </c>
      <c r="Q167" s="79"/>
    </row>
    <row r="168" spans="1:17" ht="19.5" customHeight="1" x14ac:dyDescent="0.2">
      <c r="A168" s="72" t="s">
        <v>1645</v>
      </c>
      <c r="B168" s="69" t="s">
        <v>1623</v>
      </c>
      <c r="C168" s="69">
        <v>33</v>
      </c>
      <c r="D168" s="69">
        <v>70</v>
      </c>
      <c r="E168" s="69" t="s">
        <v>97</v>
      </c>
      <c r="F168" s="69" t="s">
        <v>178</v>
      </c>
      <c r="G168" s="69">
        <v>10</v>
      </c>
      <c r="H168" s="73">
        <f>IFERROR(IF(B168="","",(C168/100)*(D168/100)),"")</f>
        <v>0.23099999999999998</v>
      </c>
      <c r="I168" s="74">
        <f>IFERROR(IF(B168="","",_xlfn.LET(_xlpm.tamano,IF(H168&lt;=0.5,"CHICO",IF(H168&lt;=1,"MEDIANO","GRANDE")),_xlpm.clave,B168&amp;"|"&amp;_xlpm.tamano,_xlpm.fila,MATCH(_xlpm.clave,COSTOS_M2!$H$5:$H$67,0),_xlpm.mat_m2,INDEX(IF(F168="HUANACAXTLE",COSTOS_M2!$D$5:$D$67,IF(F168="ENCINO",COSTOS_M2!$E$5:$E$67,COSTOS_M2!$F$5:$F$67)),_xlpm.fila),_xlpm.cons_m2,INDEX(COSTOS_M2!$G$5:$G$67,_xlpm.fila),_xlpm.prof_factor,IF(AND(E168&lt;&gt;"—",E168&lt;&gt;"",ISNUMBER(E168)),POWER(E168/40,1.8),1),_xlpm.total_m2,(_xlpm.mat_m2+_xlpm.cons_m2)*H168*_xlpm.prof_factor*IF(C168&gt;70,COSTOS_M2!$B$70,1)*IF(D168&gt;244,COSTOS_M2!$B$71,1),_xlpm.total_m2)),"")</f>
        <v>192.88499999999999</v>
      </c>
      <c r="J168" s="74">
        <f>IFERROR(IF(B168="","",INDEX(MANO_DE_OBRA!$P$10:$P$72,MATCH(B168&amp;"|"&amp;IF(H168&lt;=0.5,"CHICO",IF(H168&lt;=1,"MEDIANO","GRANDE")),MANO_DE_OBRA!$Q$10:$Q$72,0))),"")</f>
        <v>265.80149999999998</v>
      </c>
      <c r="K168" s="342">
        <f>IFERROR(IF(B168="","",_xlfn.LET(_xlpm.clave_prof,B168&amp;"|"&amp;E168,_xlpm.clave_todas,B168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68" s="75">
        <f>IFERROR(IF(B168="","",IF(I168="",0,I168)+IF(J168="",0,J168)+IF(K168="",0,K168)),"")</f>
        <v>458.68649999999997</v>
      </c>
      <c r="M168" s="75">
        <f>IFERROR(IF(L168="","",L168*$D$8),"")</f>
        <v>573.35812499999997</v>
      </c>
      <c r="N168" s="76">
        <f>IFERROR(IF(M168="","",CEILING(M168,50)),"")</f>
        <v>600</v>
      </c>
      <c r="O168" s="77">
        <v>0</v>
      </c>
      <c r="P168" s="78">
        <f>IFERROR(IF(G168="","",G168*N168*(1-O168)),"")</f>
        <v>6000</v>
      </c>
      <c r="Q168" s="79"/>
    </row>
    <row r="169" spans="1:17" ht="19.5" customHeight="1" x14ac:dyDescent="0.2">
      <c r="A169" s="72" t="s">
        <v>1645</v>
      </c>
      <c r="B169" s="69" t="s">
        <v>1628</v>
      </c>
      <c r="C169" s="69">
        <v>70</v>
      </c>
      <c r="D169" s="69">
        <v>240</v>
      </c>
      <c r="E169" s="69" t="s">
        <v>97</v>
      </c>
      <c r="F169" s="69" t="s">
        <v>178</v>
      </c>
      <c r="G169" s="69">
        <v>2</v>
      </c>
      <c r="H169" s="73">
        <f>IFERROR(IF(B169="","",(C169/100)*(D169/100)),"")</f>
        <v>1.68</v>
      </c>
      <c r="I169" s="74">
        <f>IFERROR(IF(B169="","",_xlfn.LET(_xlpm.tamano,IF(H169&lt;=0.5,"CHICO",IF(H169&lt;=1,"MEDIANO","GRANDE")),_xlpm.clave,B169&amp;"|"&amp;_xlpm.tamano,_xlpm.fila,MATCH(_xlpm.clave,COSTOS_M2!$H$5:$H$67,0),_xlpm.mat_m2,INDEX(IF(F169="HUANACAXTLE",COSTOS_M2!$D$5:$D$67,IF(F169="ENCINO",COSTOS_M2!$E$5:$E$67,COSTOS_M2!$F$5:$F$67)),_xlpm.fila),_xlpm.cons_m2,INDEX(COSTOS_M2!$G$5:$G$67,_xlpm.fila),_xlpm.prof_factor,IF(AND(E169&lt;&gt;"—",E169&lt;&gt;"",ISNUMBER(E169)),POWER(E169/40,1.8),1),_xlpm.total_m2,(_xlpm.mat_m2+_xlpm.cons_m2)*H169*_xlpm.prof_factor*IF(C169&gt;70,COSTOS_M2!$B$70,1)*IF(D169&gt;244,COSTOS_M2!$B$71,1),_xlpm.total_m2)),"")</f>
        <v>394.8</v>
      </c>
      <c r="J169" s="74">
        <f>IFERROR(IF(B169="","",INDEX(MANO_DE_OBRA!$P$10:$P$72,MATCH(B169&amp;"|"&amp;IF(H169&lt;=0.5,"CHICO",IF(H169&lt;=1,"MEDIANO","GRANDE")),MANO_DE_OBRA!$Q$10:$Q$72,0))),"")</f>
        <v>295.7955</v>
      </c>
      <c r="K169" s="342">
        <f>IFERROR(IF(B169="","",_xlfn.LET(_xlpm.clave_prof,B169&amp;"|"&amp;E169,_xlpm.clave_todas,B169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69" s="75">
        <f>IFERROR(IF(B169="","",IF(I169="",0,I169)+IF(J169="",0,J169)+IF(K169="",0,K169)),"")</f>
        <v>690.59550000000002</v>
      </c>
      <c r="M169" s="75">
        <f>IFERROR(IF(L169="","",L169*$D$8),"")</f>
        <v>863.24437499999999</v>
      </c>
      <c r="N169" s="76">
        <f>IFERROR(IF(M169="","",CEILING(M169,50)),"")</f>
        <v>900</v>
      </c>
      <c r="O169" s="77">
        <v>0</v>
      </c>
      <c r="P169" s="78">
        <f>IFERROR(IF(G169="","",G169*N169*(1-O169)),"")</f>
        <v>1800</v>
      </c>
      <c r="Q169" s="79"/>
    </row>
    <row r="170" spans="1:17" ht="19.5" customHeight="1" x14ac:dyDescent="0.2">
      <c r="A170" s="72" t="s">
        <v>1646</v>
      </c>
      <c r="B170" s="69" t="s">
        <v>195</v>
      </c>
      <c r="C170" s="69">
        <v>55</v>
      </c>
      <c r="D170" s="69">
        <v>100</v>
      </c>
      <c r="E170" s="69" t="s">
        <v>97</v>
      </c>
      <c r="F170" s="69" t="s">
        <v>178</v>
      </c>
      <c r="G170" s="69">
        <v>1</v>
      </c>
      <c r="H170" s="73">
        <f>IFERROR(IF(B170="","",(C170/100)*(D170/100)),"")</f>
        <v>0.55000000000000004</v>
      </c>
      <c r="I170" s="74">
        <f>IFERROR(IF(B170="","",_xlfn.LET(_xlpm.tamano,IF(H170&lt;=0.5,"CHICO",IF(H170&lt;=1,"MEDIANO","GRANDE")),_xlpm.clave,B170&amp;"|"&amp;_xlpm.tamano,_xlpm.fila,MATCH(_xlpm.clave,COSTOS_M2!$H$5:$H$67,0),_xlpm.mat_m2,INDEX(IF(F170="HUANACAXTLE",COSTOS_M2!$D$5:$D$67,IF(F170="ENCINO",COSTOS_M2!$E$5:$E$67,COSTOS_M2!$F$5:$F$67)),_xlpm.fila),_xlpm.cons_m2,INDEX(COSTOS_M2!$G$5:$G$67,_xlpm.fila),_xlpm.prof_factor,IF(AND(E170&lt;&gt;"—",E170&lt;&gt;"",ISNUMBER(E170)),POWER(E170/40,1.8),1),_xlpm.total_m2,(_xlpm.mat_m2+_xlpm.cons_m2)*H170*_xlpm.prof_factor*IF(C170&gt;70,COSTOS_M2!$B$70,1)*IF(D170&gt;244,COSTOS_M2!$B$71,1),_xlpm.total_m2)),"")</f>
        <v>386.1</v>
      </c>
      <c r="J170" s="74">
        <f>IFERROR(IF(B170="","",INDEX(MANO_DE_OBRA!$P$10:$P$72,MATCH(B170&amp;"|"&amp;IF(H170&lt;=0.5,"CHICO",IF(H170&lt;=1,"MEDIANO","GRANDE")),MANO_DE_OBRA!$Q$10:$Q$72,0))),"")</f>
        <v>469.28723999999994</v>
      </c>
      <c r="K170" s="342">
        <f>IFERROR(IF(B170="","",_xlfn.LET(_xlpm.clave_prof,B170&amp;"|"&amp;E170,_xlpm.clave_todas,B170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70" s="75">
        <f>IFERROR(IF(B170="","",IF(I170="",0,I170)+IF(J170="",0,J170)+IF(K170="",0,K170)),"")</f>
        <v>855.38724000000002</v>
      </c>
      <c r="M170" s="75">
        <f>IFERROR(IF(L170="","",L170*$D$8),"")</f>
        <v>1069.23405</v>
      </c>
      <c r="N170" s="76">
        <f>IFERROR(IF(M170="","",CEILING(M170,50)),"")</f>
        <v>1100</v>
      </c>
      <c r="O170" s="77">
        <v>0</v>
      </c>
      <c r="P170" s="78">
        <f>IFERROR(IF(G170="","",G170*N170*(1-O170)),"")</f>
        <v>1100</v>
      </c>
      <c r="Q170" s="79"/>
    </row>
    <row r="171" spans="1:17" ht="19.5" customHeight="1" x14ac:dyDescent="0.2">
      <c r="A171" s="72" t="s">
        <v>1646</v>
      </c>
      <c r="B171" s="69" t="s">
        <v>195</v>
      </c>
      <c r="C171" s="69">
        <v>55</v>
      </c>
      <c r="D171" s="69">
        <v>200</v>
      </c>
      <c r="E171" s="69" t="s">
        <v>97</v>
      </c>
      <c r="F171" s="69" t="s">
        <v>178</v>
      </c>
      <c r="G171" s="69">
        <v>1</v>
      </c>
      <c r="H171" s="73">
        <f>IFERROR(IF(B171="","",(C171/100)*(D171/100)),"")</f>
        <v>1.1000000000000001</v>
      </c>
      <c r="I171" s="74">
        <f>IFERROR(IF(B171="","",_xlfn.LET(_xlpm.tamano,IF(H171&lt;=0.5,"CHICO",IF(H171&lt;=1,"MEDIANO","GRANDE")),_xlpm.clave,B171&amp;"|"&amp;_xlpm.tamano,_xlpm.fila,MATCH(_xlpm.clave,COSTOS_M2!$H$5:$H$67,0),_xlpm.mat_m2,INDEX(IF(F171="HUANACAXTLE",COSTOS_M2!$D$5:$D$67,IF(F171="ENCINO",COSTOS_M2!$E$5:$E$67,COSTOS_M2!$F$5:$F$67)),_xlpm.fila),_xlpm.cons_m2,INDEX(COSTOS_M2!$G$5:$G$67,_xlpm.fila),_xlpm.prof_factor,IF(AND(E171&lt;&gt;"—",E171&lt;&gt;"",ISNUMBER(E171)),POWER(E171/40,1.8),1),_xlpm.total_m2,(_xlpm.mat_m2+_xlpm.cons_m2)*H171*_xlpm.prof_factor*IF(C171&gt;70,COSTOS_M2!$B$70,1)*IF(D171&gt;244,COSTOS_M2!$B$71,1),_xlpm.total_m2)),"")</f>
        <v>740.30000000000007</v>
      </c>
      <c r="J171" s="74">
        <f>IFERROR(IF(B171="","",INDEX(MANO_DE_OBRA!$P$10:$P$72,MATCH(B171&amp;"|"&amp;IF(H171&lt;=0.5,"CHICO",IF(H171&lt;=1,"MEDIANO","GRANDE")),MANO_DE_OBRA!$Q$10:$Q$72,0))),"")</f>
        <v>614.34549000000015</v>
      </c>
      <c r="K171" s="342">
        <f>IFERROR(IF(B171="","",_xlfn.LET(_xlpm.clave_prof,B171&amp;"|"&amp;E171,_xlpm.clave_todas,B171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71" s="75">
        <f>IFERROR(IF(B171="","",IF(I171="",0,I171)+IF(J171="",0,J171)+IF(K171="",0,K171)),"")</f>
        <v>1354.6454900000003</v>
      </c>
      <c r="M171" s="75">
        <f>IFERROR(IF(L171="","",L171*$D$8),"")</f>
        <v>1693.3068625000005</v>
      </c>
      <c r="N171" s="76">
        <f>IFERROR(IF(M171="","",CEILING(M171,50)),"")</f>
        <v>1700</v>
      </c>
      <c r="O171" s="77">
        <v>0</v>
      </c>
      <c r="P171" s="78">
        <f>IFERROR(IF(G171="","",G171*N171*(1-O171)),"")</f>
        <v>1700</v>
      </c>
      <c r="Q171" s="79"/>
    </row>
    <row r="172" spans="1:17" ht="19.5" customHeight="1" x14ac:dyDescent="0.2">
      <c r="A172" s="72" t="s">
        <v>1646</v>
      </c>
      <c r="B172" s="69" t="s">
        <v>196</v>
      </c>
      <c r="C172" s="69">
        <v>55</v>
      </c>
      <c r="D172" s="69">
        <v>100</v>
      </c>
      <c r="E172" s="69" t="s">
        <v>97</v>
      </c>
      <c r="F172" s="69" t="s">
        <v>178</v>
      </c>
      <c r="G172" s="69">
        <v>1</v>
      </c>
      <c r="H172" s="73">
        <f>IFERROR(IF(B172="","",(C172/100)*(D172/100)),"")</f>
        <v>0.55000000000000004</v>
      </c>
      <c r="I172" s="74">
        <f>IFERROR(IF(B172="","",_xlfn.LET(_xlpm.tamano,IF(H172&lt;=0.5,"CHICO",IF(H172&lt;=1,"MEDIANO","GRANDE")),_xlpm.clave,B172&amp;"|"&amp;_xlpm.tamano,_xlpm.fila,MATCH(_xlpm.clave,COSTOS_M2!$H$5:$H$67,0),_xlpm.mat_m2,INDEX(IF(F172="HUANACAXTLE",COSTOS_M2!$D$5:$D$67,IF(F172="ENCINO",COSTOS_M2!$E$5:$E$67,COSTOS_M2!$F$5:$F$67)),_xlpm.fila),_xlpm.cons_m2,INDEX(COSTOS_M2!$G$5:$G$67,_xlpm.fila),_xlpm.prof_factor,IF(AND(E172&lt;&gt;"—",E172&lt;&gt;"",ISNUMBER(E172)),POWER(E172/40,1.8),1),_xlpm.total_m2,(_xlpm.mat_m2+_xlpm.cons_m2)*H172*_xlpm.prof_factor*IF(C172&gt;70,COSTOS_M2!$B$70,1)*IF(D172&gt;244,COSTOS_M2!$B$71,1),_xlpm.total_m2)),"")</f>
        <v>459.8</v>
      </c>
      <c r="J172" s="74">
        <f>IFERROR(IF(B172="","",INDEX(MANO_DE_OBRA!$P$10:$P$72,MATCH(B172&amp;"|"&amp;IF(H172&lt;=0.5,"CHICO",IF(H172&lt;=1,"MEDIANO","GRANDE")),MANO_DE_OBRA!$Q$10:$Q$72,0))),"")</f>
        <v>520.05040499999996</v>
      </c>
      <c r="K172" s="342">
        <f>IFERROR(IF(B172="","",_xlfn.LET(_xlpm.clave_prof,B172&amp;"|"&amp;E172,_xlpm.clave_todas,B172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72" s="75">
        <f>IFERROR(IF(B172="","",IF(I172="",0,I172)+IF(J172="",0,J172)+IF(K172="",0,K172)),"")</f>
        <v>979.85040499999991</v>
      </c>
      <c r="M172" s="75">
        <f>IFERROR(IF(L172="","",L172*$D$8),"")</f>
        <v>1224.8130062499999</v>
      </c>
      <c r="N172" s="76">
        <f>IFERROR(IF(M172="","",CEILING(M172,50)),"")</f>
        <v>1250</v>
      </c>
      <c r="O172" s="77">
        <v>0</v>
      </c>
      <c r="P172" s="78">
        <f>IFERROR(IF(G172="","",G172*N172*(1-O172)),"")</f>
        <v>1250</v>
      </c>
      <c r="Q172" s="79"/>
    </row>
    <row r="173" spans="1:17" ht="19.5" customHeight="1" x14ac:dyDescent="0.2">
      <c r="A173" s="72" t="s">
        <v>1646</v>
      </c>
      <c r="B173" s="69" t="s">
        <v>196</v>
      </c>
      <c r="C173" s="69">
        <v>55</v>
      </c>
      <c r="D173" s="69">
        <v>200</v>
      </c>
      <c r="E173" s="69" t="s">
        <v>97</v>
      </c>
      <c r="F173" s="69" t="s">
        <v>178</v>
      </c>
      <c r="G173" s="69">
        <v>1</v>
      </c>
      <c r="H173" s="73">
        <f>IFERROR(IF(B173="","",(C173/100)*(D173/100)),"")</f>
        <v>1.1000000000000001</v>
      </c>
      <c r="I173" s="74">
        <f>IFERROR(IF(B173="","",_xlfn.LET(_xlpm.tamano,IF(H173&lt;=0.5,"CHICO",IF(H173&lt;=1,"MEDIANO","GRANDE")),_xlpm.clave,B173&amp;"|"&amp;_xlpm.tamano,_xlpm.fila,MATCH(_xlpm.clave,COSTOS_M2!$H$5:$H$67,0),_xlpm.mat_m2,INDEX(IF(F173="HUANACAXTLE",COSTOS_M2!$D$5:$D$67,IF(F173="ENCINO",COSTOS_M2!$E$5:$E$67,COSTOS_M2!$F$5:$F$67)),_xlpm.fila),_xlpm.cons_m2,INDEX(COSTOS_M2!$G$5:$G$67,_xlpm.fila),_xlpm.prof_factor,IF(AND(E173&lt;&gt;"—",E173&lt;&gt;"",ISNUMBER(E173)),POWER(E173/40,1.8),1),_xlpm.total_m2,(_xlpm.mat_m2+_xlpm.cons_m2)*H173*_xlpm.prof_factor*IF(C173&gt;70,COSTOS_M2!$B$70,1)*IF(D173&gt;244,COSTOS_M2!$B$71,1),_xlpm.total_m2)),"")</f>
        <v>888.80000000000007</v>
      </c>
      <c r="J173" s="74">
        <f>IFERROR(IF(B173="","",INDEX(MANO_DE_OBRA!$P$10:$P$72,MATCH(B173&amp;"|"&amp;IF(H173&lt;=0.5,"CHICO",IF(H173&lt;=1,"MEDIANO","GRANDE")),MANO_DE_OBRA!$Q$10:$Q$72,0))),"")</f>
        <v>762.95904000000007</v>
      </c>
      <c r="K173" s="342">
        <f>IFERROR(IF(B173="","",_xlfn.LET(_xlpm.clave_prof,B173&amp;"|"&amp;E173,_xlpm.clave_todas,B173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73" s="75">
        <f>IFERROR(IF(B173="","",IF(I173="",0,I173)+IF(J173="",0,J173)+IF(K173="",0,K173)),"")</f>
        <v>1651.7590400000001</v>
      </c>
      <c r="M173" s="75">
        <f>IFERROR(IF(L173="","",L173*$D$8),"")</f>
        <v>2064.6988000000001</v>
      </c>
      <c r="N173" s="76">
        <f>IFERROR(IF(M173="","",CEILING(M173,50)),"")</f>
        <v>2100</v>
      </c>
      <c r="O173" s="77">
        <v>0</v>
      </c>
      <c r="P173" s="78">
        <f>IFERROR(IF(G173="","",G173*N173*(1-O173)),"")</f>
        <v>2100</v>
      </c>
      <c r="Q173" s="79"/>
    </row>
    <row r="174" spans="1:17" ht="19.5" customHeight="1" x14ac:dyDescent="0.2">
      <c r="A174" s="72" t="s">
        <v>1646</v>
      </c>
      <c r="B174" s="69" t="s">
        <v>193</v>
      </c>
      <c r="C174" s="69">
        <v>55</v>
      </c>
      <c r="D174" s="69">
        <v>200</v>
      </c>
      <c r="E174" s="69" t="s">
        <v>97</v>
      </c>
      <c r="F174" s="69" t="s">
        <v>178</v>
      </c>
      <c r="G174" s="69">
        <v>2</v>
      </c>
      <c r="H174" s="73">
        <f>IFERROR(IF(B174="","",(C174/100)*(D174/100)),"")</f>
        <v>1.1000000000000001</v>
      </c>
      <c r="I174" s="74">
        <f>IFERROR(IF(B174="","",_xlfn.LET(_xlpm.tamano,IF(H174&lt;=0.5,"CHICO",IF(H174&lt;=1,"MEDIANO","GRANDE")),_xlpm.clave,B174&amp;"|"&amp;_xlpm.tamano,_xlpm.fila,MATCH(_xlpm.clave,COSTOS_M2!$H$5:$H$67,0),_xlpm.mat_m2,INDEX(IF(F174="HUANACAXTLE",COSTOS_M2!$D$5:$D$67,IF(F174="ENCINO",COSTOS_M2!$E$5:$E$67,COSTOS_M2!$F$5:$F$67)),_xlpm.fila),_xlpm.cons_m2,INDEX(COSTOS_M2!$G$5:$G$67,_xlpm.fila),_xlpm.prof_factor,IF(AND(E174&lt;&gt;"—",E174&lt;&gt;"",ISNUMBER(E174)),POWER(E174/40,1.8),1),_xlpm.total_m2,(_xlpm.mat_m2+_xlpm.cons_m2)*H174*_xlpm.prof_factor*IF(C174&gt;70,COSTOS_M2!$B$70,1)*IF(D174&gt;244,COSTOS_M2!$B$71,1),_xlpm.total_m2)),"")</f>
        <v>1246.3000000000002</v>
      </c>
      <c r="J174" s="74">
        <f>IFERROR(IF(B174="","",INDEX(MANO_DE_OBRA!$P$10:$P$72,MATCH(B174&amp;"|"&amp;IF(H174&lt;=0.5,"CHICO",IF(H174&lt;=1,"MEDIANO","GRANDE")),MANO_DE_OBRA!$Q$10:$Q$72,0))),"")</f>
        <v>751.15698000000009</v>
      </c>
      <c r="K174" s="342">
        <f>IFERROR(IF(B174="","",_xlfn.LET(_xlpm.clave_prof,B174&amp;"|"&amp;E174,_xlpm.clave_todas,B174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74" s="75">
        <f>IFERROR(IF(B174="","",IF(I174="",0,I174)+IF(J174="",0,J174)+IF(K174="",0,K174)),"")</f>
        <v>1997.4569800000004</v>
      </c>
      <c r="M174" s="75">
        <f>IFERROR(IF(L174="","",L174*$D$8),"")</f>
        <v>2496.8212250000006</v>
      </c>
      <c r="N174" s="76">
        <f>IFERROR(IF(M174="","",CEILING(M174,50)),"")</f>
        <v>2500</v>
      </c>
      <c r="O174" s="77">
        <v>0</v>
      </c>
      <c r="P174" s="78">
        <f>IFERROR(IF(G174="","",G174*N174*(1-O174)),"")</f>
        <v>5000</v>
      </c>
      <c r="Q174" s="79"/>
    </row>
    <row r="175" spans="1:17" ht="19.5" customHeight="1" x14ac:dyDescent="0.2">
      <c r="A175" s="72" t="s">
        <v>1646</v>
      </c>
      <c r="B175" s="69" t="s">
        <v>1623</v>
      </c>
      <c r="C175" s="69">
        <v>55</v>
      </c>
      <c r="D175" s="69">
        <v>100</v>
      </c>
      <c r="E175" s="69" t="s">
        <v>97</v>
      </c>
      <c r="F175" s="69" t="s">
        <v>178</v>
      </c>
      <c r="G175" s="69">
        <v>3</v>
      </c>
      <c r="H175" s="73">
        <f>IFERROR(IF(B175="","",(C175/100)*(D175/100)),"")</f>
        <v>0.55000000000000004</v>
      </c>
      <c r="I175" s="74">
        <f>IFERROR(IF(B175="","",_xlfn.LET(_xlpm.tamano,IF(H175&lt;=0.5,"CHICO",IF(H175&lt;=1,"MEDIANO","GRANDE")),_xlpm.clave,B175&amp;"|"&amp;_xlpm.tamano,_xlpm.fila,MATCH(_xlpm.clave,COSTOS_M2!$H$5:$H$67,0),_xlpm.mat_m2,INDEX(IF(F175="HUANACAXTLE",COSTOS_M2!$D$5:$D$67,IF(F175="ENCINO",COSTOS_M2!$E$5:$E$67,COSTOS_M2!$F$5:$F$67)),_xlpm.fila),_xlpm.cons_m2,INDEX(COSTOS_M2!$G$5:$G$67,_xlpm.fila),_xlpm.prof_factor,IF(AND(E175&lt;&gt;"—",E175&lt;&gt;"",ISNUMBER(E175)),POWER(E175/40,1.8),1),_xlpm.total_m2,(_xlpm.mat_m2+_xlpm.cons_m2)*H175*_xlpm.prof_factor*IF(C175&gt;70,COSTOS_M2!$B$70,1)*IF(D175&gt;244,COSTOS_M2!$B$71,1),_xlpm.total_m2)),"")</f>
        <v>431.75000000000006</v>
      </c>
      <c r="J175" s="74">
        <f>IFERROR(IF(B175="","",INDEX(MANO_DE_OBRA!$P$10:$P$72,MATCH(B175&amp;"|"&amp;IF(H175&lt;=0.5,"CHICO",IF(H175&lt;=1,"MEDIANO","GRANDE")),MANO_DE_OBRA!$Q$10:$Q$72,0))),"")</f>
        <v>400.55880000000002</v>
      </c>
      <c r="K175" s="342">
        <f>IFERROR(IF(B175="","",_xlfn.LET(_xlpm.clave_prof,B175&amp;"|"&amp;E175,_xlpm.clave_todas,B175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75" s="75">
        <f>IFERROR(IF(B175="","",IF(I175="",0,I175)+IF(J175="",0,J175)+IF(K175="",0,K175)),"")</f>
        <v>832.30880000000002</v>
      </c>
      <c r="M175" s="75">
        <f>IFERROR(IF(L175="","",L175*$D$8),"")</f>
        <v>1040.386</v>
      </c>
      <c r="N175" s="76">
        <f>IFERROR(IF(M175="","",CEILING(M175,50)),"")</f>
        <v>1050</v>
      </c>
      <c r="O175" s="77">
        <v>0</v>
      </c>
      <c r="P175" s="78">
        <f>IFERROR(IF(G175="","",G175*N175*(1-O175)),"")</f>
        <v>3150</v>
      </c>
      <c r="Q175" s="79"/>
    </row>
    <row r="176" spans="1:17" ht="19.5" customHeight="1" x14ac:dyDescent="0.2">
      <c r="A176" s="72" t="s">
        <v>1646</v>
      </c>
      <c r="B176" s="69" t="s">
        <v>203</v>
      </c>
      <c r="C176" s="69" t="s">
        <v>205</v>
      </c>
      <c r="D176" s="69">
        <v>100</v>
      </c>
      <c r="E176" s="69" t="s">
        <v>97</v>
      </c>
      <c r="F176" s="69" t="s">
        <v>178</v>
      </c>
      <c r="G176" s="69">
        <v>6</v>
      </c>
      <c r="H176" s="73" t="str">
        <f>IFERROR(IF(B176="","",(C176/100)*(D176/100)),"")</f>
        <v/>
      </c>
      <c r="I176" s="74" t="str">
        <f>IFERROR(IF(B176="","",_xlfn.LET(_xlpm.tamano,IF(H176&lt;=0.5,"CHICO",IF(H176&lt;=1,"MEDIANO","GRANDE")),_xlpm.clave,B176&amp;"|"&amp;_xlpm.tamano,_xlpm.fila,MATCH(_xlpm.clave,COSTOS_M2!$H$5:$H$67,0),_xlpm.mat_m2,INDEX(IF(F176="HUANACAXTLE",COSTOS_M2!$D$5:$D$67,IF(F176="ENCINO",COSTOS_M2!$E$5:$E$67,COSTOS_M2!$F$5:$F$67)),_xlpm.fila),_xlpm.cons_m2,INDEX(COSTOS_M2!$G$5:$G$67,_xlpm.fila),_xlpm.prof_factor,IF(AND(E176&lt;&gt;"—",E176&lt;&gt;"",ISNUMBER(E176)),POWER(E176/40,1.8),1),_xlpm.total_m2,(_xlpm.mat_m2+_xlpm.cons_m2)*H176*_xlpm.prof_factor*IF(C176&gt;70,COSTOS_M2!$B$70,1)*IF(D176&gt;244,COSTOS_M2!$B$71,1),_xlpm.total_m2)),"")</f>
        <v/>
      </c>
      <c r="J176" s="74">
        <f>IFERROR(IF(B176="","",INDEX(MANO_DE_OBRA!$P$10:$P$72,MATCH(B176&amp;"|"&amp;IF(H176&lt;=0.5,"CHICO",IF(H176&lt;=1,"MEDIANO","GRANDE")),MANO_DE_OBRA!$Q$10:$Q$72,0))),"")</f>
        <v>25.592999999999996</v>
      </c>
      <c r="K176" s="342">
        <f>IFERROR(IF(B176="","",_xlfn.LET(_xlpm.clave_prof,B176&amp;"|"&amp;E176,_xlpm.clave_todas,B176&amp;"|TODAS",_xlpm.herr_prof,SUMIFS(HERRAJES!$H$5:$H$36,HERRAJES!$J$5:$J$36,_xlpm.clave_prof),_xlpm.herr_todas,SUMIFS(HERRAJES!$H$5:$H$36,HERRAJES!$J$5:$J$36,_xlpm.clave_todas),IF(_xlpm.herr_prof&gt;0,_xlpm.herr_prof,_xlpm.herr_todas))),"")</f>
        <v>2.74</v>
      </c>
      <c r="L176" s="75">
        <f>IFERROR(IF(B176="","",IF(I176="",0,I176)+IF(J176="",0,J176)+IF(K176="",0,K176)),"")</f>
        <v>28.332999999999998</v>
      </c>
      <c r="M176" s="75">
        <f>IFERROR(IF(L176="","",L176*$D$8),"")</f>
        <v>35.416249999999998</v>
      </c>
      <c r="N176" s="76">
        <f>IFERROR(IF(M176="","",CEILING(M176,50)),"")</f>
        <v>50</v>
      </c>
      <c r="O176" s="77">
        <v>0</v>
      </c>
      <c r="P176" s="78">
        <f>IFERROR(IF(G176="","",G176*N176*(1-O176)),"")</f>
        <v>300</v>
      </c>
      <c r="Q176" s="79"/>
    </row>
    <row r="177" spans="1:17" ht="19.5" customHeight="1" x14ac:dyDescent="0.2">
      <c r="A177" s="72" t="s">
        <v>1646</v>
      </c>
      <c r="B177" s="69" t="s">
        <v>1628</v>
      </c>
      <c r="C177" s="69">
        <v>300</v>
      </c>
      <c r="D177" s="69">
        <v>200</v>
      </c>
      <c r="E177" s="69" t="s">
        <v>97</v>
      </c>
      <c r="F177" s="69" t="s">
        <v>178</v>
      </c>
      <c r="G177" s="69">
        <v>1</v>
      </c>
      <c r="H177" s="73">
        <f>IFERROR(IF(B177="","",(C177/100)*(D177/100)),"")</f>
        <v>6</v>
      </c>
      <c r="I177" s="74">
        <f>IFERROR(IF(B177="","",_xlfn.LET(_xlpm.tamano,IF(H177&lt;=0.5,"CHICO",IF(H177&lt;=1,"MEDIANO","GRANDE")),_xlpm.clave,B177&amp;"|"&amp;_xlpm.tamano,_xlpm.fila,MATCH(_xlpm.clave,COSTOS_M2!$H$5:$H$67,0),_xlpm.mat_m2,INDEX(IF(F177="HUANACAXTLE",COSTOS_M2!$D$5:$D$67,IF(F177="ENCINO",COSTOS_M2!$E$5:$E$67,COSTOS_M2!$F$5:$F$67)),_xlpm.fila),_xlpm.cons_m2,INDEX(COSTOS_M2!$G$5:$G$67,_xlpm.fila),_xlpm.prof_factor,IF(AND(E177&lt;&gt;"—",E177&lt;&gt;"",ISNUMBER(E177)),POWER(E177/40,1.8),1),_xlpm.total_m2,(_xlpm.mat_m2+_xlpm.cons_m2)*H177*_xlpm.prof_factor*IF(C177&gt;70,COSTOS_M2!$B$70,1)*IF(D177&gt;244,COSTOS_M2!$B$71,1),_xlpm.total_m2)),"")</f>
        <v>1833</v>
      </c>
      <c r="J177" s="74">
        <f>IFERROR(IF(B177="","",INDEX(MANO_DE_OBRA!$P$10:$P$72,MATCH(B177&amp;"|"&amp;IF(H177&lt;=0.5,"CHICO",IF(H177&lt;=1,"MEDIANO","GRANDE")),MANO_DE_OBRA!$Q$10:$Q$72,0))),"")</f>
        <v>295.7955</v>
      </c>
      <c r="K177" s="342">
        <f>IFERROR(IF(B177="","",_xlfn.LET(_xlpm.clave_prof,B177&amp;"|"&amp;E177,_xlpm.clave_todas,B177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77" s="75">
        <f>IFERROR(IF(B177="","",IF(I177="",0,I177)+IF(J177="",0,J177)+IF(K177="",0,K177)),"")</f>
        <v>2128.7955000000002</v>
      </c>
      <c r="M177" s="75">
        <f>IFERROR(IF(L177="","",L177*$D$8),"")</f>
        <v>2660.9943750000002</v>
      </c>
      <c r="N177" s="76">
        <f>IFERROR(IF(M177="","",CEILING(M177,50)),"")</f>
        <v>2700</v>
      </c>
      <c r="O177" s="77">
        <v>0</v>
      </c>
      <c r="P177" s="78">
        <f>IFERROR(IF(G177="","",G177*N177*(1-O177)),"")</f>
        <v>2700</v>
      </c>
      <c r="Q177" s="79"/>
    </row>
    <row r="178" spans="1:17" ht="19.5" customHeight="1" x14ac:dyDescent="0.2">
      <c r="A178" s="72" t="s">
        <v>1646</v>
      </c>
      <c r="B178" s="69" t="s">
        <v>1627</v>
      </c>
      <c r="C178" s="69">
        <v>5</v>
      </c>
      <c r="D178" s="69">
        <v>300</v>
      </c>
      <c r="E178" s="69" t="s">
        <v>97</v>
      </c>
      <c r="F178" s="69" t="s">
        <v>178</v>
      </c>
      <c r="G178" s="69">
        <v>1</v>
      </c>
      <c r="H178" s="73">
        <f>IFERROR(IF(B178="","",(C178/100)*(D178/100)),"")</f>
        <v>0.15000000000000002</v>
      </c>
      <c r="I178" s="74">
        <f>IFERROR(IF(B178="","",_xlfn.LET(_xlpm.tamano,IF(H178&lt;=0.5,"CHICO",IF(H178&lt;=1,"MEDIANO","GRANDE")),_xlpm.clave,B178&amp;"|"&amp;_xlpm.tamano,_xlpm.fila,MATCH(_xlpm.clave,COSTOS_M2!$H$5:$H$67,0),_xlpm.mat_m2,INDEX(IF(F178="HUANACAXTLE",COSTOS_M2!$D$5:$D$67,IF(F178="ENCINO",COSTOS_M2!$E$5:$E$67,COSTOS_M2!$F$5:$F$67)),_xlpm.fila),_xlpm.cons_m2,INDEX(COSTOS_M2!$G$5:$G$67,_xlpm.fila),_xlpm.prof_factor,IF(AND(E178&lt;&gt;"—",E178&lt;&gt;"",ISNUMBER(E178)),POWER(E178/40,1.8),1),_xlpm.total_m2,(_xlpm.mat_m2+_xlpm.cons_m2)*H178*_xlpm.prof_factor*IF(C178&gt;70,COSTOS_M2!$B$70,1)*IF(D178&gt;244,COSTOS_M2!$B$71,1),_xlpm.total_m2)),"")</f>
        <v>2944.5000000000009</v>
      </c>
      <c r="J178" s="74">
        <f>IFERROR(IF(B178="","",INDEX(MANO_DE_OBRA!$P$10:$P$72,MATCH(B178&amp;"|"&amp;IF(H178&lt;=0.5,"CHICO",IF(H178&lt;=1,"MEDIANO","GRANDE")),MANO_DE_OBRA!$Q$10:$Q$72,0))),"")</f>
        <v>679.06049999999993</v>
      </c>
      <c r="K178" s="342">
        <f>IFERROR(IF(B178="","",_xlfn.LET(_xlpm.clave_prof,B178&amp;"|"&amp;E178,_xlpm.clave_todas,B178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78" s="75">
        <f>IFERROR(IF(B178="","",IF(I178="",0,I178)+IF(J178="",0,J178)+IF(K178="",0,K178)),"")</f>
        <v>3623.560500000001</v>
      </c>
      <c r="M178" s="75">
        <f>IFERROR(IF(L178="","",L178*$D$8),"")</f>
        <v>4529.4506250000013</v>
      </c>
      <c r="N178" s="76">
        <f>IFERROR(IF(M178="","",CEILING(M178,50)),"")</f>
        <v>4550</v>
      </c>
      <c r="O178" s="77">
        <v>0</v>
      </c>
      <c r="P178" s="78">
        <f>IFERROR(IF(G178="","",G178*N178*(1-O178)),"")</f>
        <v>4550</v>
      </c>
      <c r="Q178" s="79"/>
    </row>
    <row r="179" spans="1:17" ht="19.5" customHeight="1" x14ac:dyDescent="0.2">
      <c r="A179" s="72" t="s">
        <v>1646</v>
      </c>
      <c r="B179" s="69" t="s">
        <v>1626</v>
      </c>
      <c r="C179" s="69">
        <v>5</v>
      </c>
      <c r="D179" s="69">
        <v>600</v>
      </c>
      <c r="E179" s="69" t="s">
        <v>97</v>
      </c>
      <c r="F179" s="69" t="s">
        <v>178</v>
      </c>
      <c r="G179" s="69">
        <v>1</v>
      </c>
      <c r="H179" s="73">
        <f>IFERROR(IF(B179="","",(C179/100)*(D179/100)),"")</f>
        <v>0.30000000000000004</v>
      </c>
      <c r="I179" s="74">
        <f>IFERROR(IF(B179="","",_xlfn.LET(_xlpm.tamano,IF(H179&lt;=0.5,"CHICO",IF(H179&lt;=1,"MEDIANO","GRANDE")),_xlpm.clave,B179&amp;"|"&amp;_xlpm.tamano,_xlpm.fila,MATCH(_xlpm.clave,COSTOS_M2!$H$5:$H$67,0),_xlpm.mat_m2,INDEX(IF(F179="HUANACAXTLE",COSTOS_M2!$D$5:$D$67,IF(F179="ENCINO",COSTOS_M2!$E$5:$E$67,COSTOS_M2!$F$5:$F$67)),_xlpm.fila),_xlpm.cons_m2,INDEX(COSTOS_M2!$G$5:$G$67,_xlpm.fila),_xlpm.prof_factor,IF(AND(E179&lt;&gt;"—",E179&lt;&gt;"",ISNUMBER(E179)),POWER(E179/40,1.8),1),_xlpm.total_m2,(_xlpm.mat_m2+_xlpm.cons_m2)*H179*_xlpm.prof_factor*IF(C179&gt;70,COSTOS_M2!$B$70,1)*IF(D179&gt;244,COSTOS_M2!$B$71,1),_xlpm.total_m2)),"")</f>
        <v>2008.5000000000005</v>
      </c>
      <c r="J179" s="74">
        <f>IFERROR(IF(B179="","",INDEX(MANO_DE_OBRA!$P$10:$P$72,MATCH(B179&amp;"|"&amp;IF(H179&lt;=0.5,"CHICO",IF(H179&lt;=1,"MEDIANO","GRANDE")),MANO_DE_OBRA!$Q$10:$Q$72,0))),"")</f>
        <v>477.459</v>
      </c>
      <c r="K179" s="342">
        <f>IFERROR(IF(B179="","",_xlfn.LET(_xlpm.clave_prof,B179&amp;"|"&amp;E179,_xlpm.clave_todas,B179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79" s="75">
        <f>IFERROR(IF(B179="","",IF(I179="",0,I179)+IF(J179="",0,J179)+IF(K179="",0,K179)),"")</f>
        <v>2485.9590000000003</v>
      </c>
      <c r="M179" s="75">
        <f>IFERROR(IF(L179="","",L179*$D$8),"")</f>
        <v>3107.4487500000005</v>
      </c>
      <c r="N179" s="76">
        <f>IFERROR(IF(M179="","",CEILING(M179,50)),"")</f>
        <v>3150</v>
      </c>
      <c r="O179" s="77">
        <v>0</v>
      </c>
      <c r="P179" s="78">
        <f>IFERROR(IF(G179="","",G179*N179*(1-O179)),"")</f>
        <v>3150</v>
      </c>
      <c r="Q179" s="79"/>
    </row>
    <row r="180" spans="1:17" ht="19.5" customHeight="1" x14ac:dyDescent="0.2">
      <c r="A180" s="72" t="s">
        <v>1638</v>
      </c>
      <c r="B180" s="69" t="s">
        <v>195</v>
      </c>
      <c r="C180" s="69">
        <v>75</v>
      </c>
      <c r="D180" s="69">
        <v>160</v>
      </c>
      <c r="E180" s="69" t="s">
        <v>97</v>
      </c>
      <c r="F180" s="69" t="s">
        <v>178</v>
      </c>
      <c r="G180" s="69">
        <v>1</v>
      </c>
      <c r="H180" s="73">
        <f>IFERROR(IF(B180="","",(C180/100)*(D180/100)),"")</f>
        <v>1.2000000000000002</v>
      </c>
      <c r="I180" s="74">
        <f>IFERROR(IF(B180="","",_xlfn.LET(_xlpm.tamano,IF(H180&lt;=0.5,"CHICO",IF(H180&lt;=1,"MEDIANO","GRANDE")),_xlpm.clave,B180&amp;"|"&amp;_xlpm.tamano,_xlpm.fila,MATCH(_xlpm.clave,COSTOS_M2!$H$5:$H$67,0),_xlpm.mat_m2,INDEX(IF(F180="HUANACAXTLE",COSTOS_M2!$D$5:$D$67,IF(F180="ENCINO",COSTOS_M2!$E$5:$E$67,COSTOS_M2!$F$5:$F$67)),_xlpm.fila),_xlpm.cons_m2,INDEX(COSTOS_M2!$G$5:$G$67,_xlpm.fila),_xlpm.prof_factor,IF(AND(E180&lt;&gt;"—",E180&lt;&gt;"",ISNUMBER(E180)),POWER(E180/40,1.8),1),_xlpm.total_m2,(_xlpm.mat_m2+_xlpm.cons_m2)*H180*_xlpm.prof_factor*IF(C180&gt;70,COSTOS_M2!$B$70,1)*IF(D180&gt;244,COSTOS_M2!$B$71,1),_xlpm.total_m2)),"")</f>
        <v>1049.8800000000001</v>
      </c>
      <c r="J180" s="74">
        <f>IFERROR(IF(B180="","",INDEX(MANO_DE_OBRA!$P$10:$P$72,MATCH(B180&amp;"|"&amp;IF(H180&lt;=0.5,"CHICO",IF(H180&lt;=1,"MEDIANO","GRANDE")),MANO_DE_OBRA!$Q$10:$Q$72,0))),"")</f>
        <v>614.34549000000015</v>
      </c>
      <c r="K180" s="342">
        <f>IFERROR(IF(B180="","",_xlfn.LET(_xlpm.clave_prof,B180&amp;"|"&amp;E180,_xlpm.clave_todas,B180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80" s="75">
        <f>IFERROR(IF(B180="","",IF(I180="",0,I180)+IF(J180="",0,J180)+IF(K180="",0,K180)),"")</f>
        <v>1664.2254900000003</v>
      </c>
      <c r="M180" s="75">
        <f>IFERROR(IF(L180="","",L180*$D$8),"")</f>
        <v>2080.2818625000004</v>
      </c>
      <c r="N180" s="76">
        <f>IFERROR(IF(M180="","",CEILING(M180,50)),"")</f>
        <v>2100</v>
      </c>
      <c r="O180" s="77">
        <v>0</v>
      </c>
      <c r="P180" s="78">
        <f>IFERROR(IF(G180="","",G180*N180*(1-O180)),"")</f>
        <v>2100</v>
      </c>
      <c r="Q180" s="79"/>
    </row>
    <row r="181" spans="1:17" ht="19.5" customHeight="1" x14ac:dyDescent="0.2">
      <c r="A181" s="72" t="s">
        <v>1638</v>
      </c>
      <c r="B181" s="69" t="s">
        <v>196</v>
      </c>
      <c r="C181" s="69">
        <v>75</v>
      </c>
      <c r="D181" s="69">
        <v>75</v>
      </c>
      <c r="E181" s="69" t="s">
        <v>97</v>
      </c>
      <c r="F181" s="69" t="s">
        <v>178</v>
      </c>
      <c r="G181" s="69">
        <v>1</v>
      </c>
      <c r="H181" s="73">
        <f>IFERROR(IF(B181="","",(C181/100)*(D181/100)),"")</f>
        <v>0.5625</v>
      </c>
      <c r="I181" s="74">
        <f>IFERROR(IF(B181="","",_xlfn.LET(_xlpm.tamano,IF(H181&lt;=0.5,"CHICO",IF(H181&lt;=1,"MEDIANO","GRANDE")),_xlpm.clave,B181&amp;"|"&amp;_xlpm.tamano,_xlpm.fila,MATCH(_xlpm.clave,COSTOS_M2!$H$5:$H$67,0),_xlpm.mat_m2,INDEX(IF(F181="HUANACAXTLE",COSTOS_M2!$D$5:$D$67,IF(F181="ENCINO",COSTOS_M2!$E$5:$E$67,COSTOS_M2!$F$5:$F$67)),_xlpm.fila),_xlpm.cons_m2,INDEX(COSTOS_M2!$G$5:$G$67,_xlpm.fila),_xlpm.prof_factor,IF(AND(E181&lt;&gt;"—",E181&lt;&gt;"",ISNUMBER(E181)),POWER(E181/40,1.8),1),_xlpm.total_m2,(_xlpm.mat_m2+_xlpm.cons_m2)*H181*_xlpm.prof_factor*IF(C181&gt;70,COSTOS_M2!$B$70,1)*IF(D181&gt;244,COSTOS_M2!$B$71,1),_xlpm.total_m2)),"")</f>
        <v>611.32500000000005</v>
      </c>
      <c r="J181" s="74">
        <f>IFERROR(IF(B181="","",INDEX(MANO_DE_OBRA!$P$10:$P$72,MATCH(B181&amp;"|"&amp;IF(H181&lt;=0.5,"CHICO",IF(H181&lt;=1,"MEDIANO","GRANDE")),MANO_DE_OBRA!$Q$10:$Q$72,0))),"")</f>
        <v>520.05040499999996</v>
      </c>
      <c r="K181" s="342">
        <f>IFERROR(IF(B181="","",_xlfn.LET(_xlpm.clave_prof,B181&amp;"|"&amp;E181,_xlpm.clave_todas,B181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81" s="75">
        <f>IFERROR(IF(B181="","",IF(I181="",0,I181)+IF(J181="",0,J181)+IF(K181="",0,K181)),"")</f>
        <v>1131.375405</v>
      </c>
      <c r="M181" s="75">
        <f>IFERROR(IF(L181="","",L181*$D$8),"")</f>
        <v>1414.2192562499999</v>
      </c>
      <c r="N181" s="76">
        <f>IFERROR(IF(M181="","",CEILING(M181,50)),"")</f>
        <v>1450</v>
      </c>
      <c r="O181" s="77">
        <v>0</v>
      </c>
      <c r="P181" s="78">
        <f>IFERROR(IF(G181="","",G181*N181*(1-O181)),"")</f>
        <v>1450</v>
      </c>
      <c r="Q181" s="79"/>
    </row>
    <row r="182" spans="1:17" ht="19.5" customHeight="1" x14ac:dyDescent="0.2">
      <c r="A182" s="72" t="s">
        <v>1638</v>
      </c>
      <c r="B182" s="69" t="s">
        <v>192</v>
      </c>
      <c r="C182" s="69">
        <v>75</v>
      </c>
      <c r="D182" s="69">
        <v>175</v>
      </c>
      <c r="E182" s="69" t="s">
        <v>97</v>
      </c>
      <c r="F182" s="69" t="s">
        <v>178</v>
      </c>
      <c r="G182" s="69">
        <v>1</v>
      </c>
      <c r="H182" s="73">
        <f>IFERROR(IF(B182="","",(C182/100)*(D182/100)),"")</f>
        <v>1.3125</v>
      </c>
      <c r="I182" s="74">
        <f>IFERROR(IF(B182="","",_xlfn.LET(_xlpm.tamano,IF(H182&lt;=0.5,"CHICO",IF(H182&lt;=1,"MEDIANO","GRANDE")),_xlpm.clave,B182&amp;"|"&amp;_xlpm.tamano,_xlpm.fila,MATCH(_xlpm.clave,COSTOS_M2!$H$5:$H$67,0),_xlpm.mat_m2,INDEX(IF(F182="HUANACAXTLE",COSTOS_M2!$D$5:$D$67,IF(F182="ENCINO",COSTOS_M2!$E$5:$E$67,COSTOS_M2!$F$5:$F$67)),_xlpm.fila),_xlpm.cons_m2,INDEX(COSTOS_M2!$G$5:$G$67,_xlpm.fila),_xlpm.prof_factor,IF(AND(E182&lt;&gt;"—",E182&lt;&gt;"",ISNUMBER(E182)),POWER(E182/40,1.8),1),_xlpm.total_m2,(_xlpm.mat_m2+_xlpm.cons_m2)*H182*_xlpm.prof_factor*IF(C182&gt;70,COSTOS_M2!$B$70,1)*IF(D182&gt;244,COSTOS_M2!$B$71,1),_xlpm.total_m2)),"")</f>
        <v>1175.60625</v>
      </c>
      <c r="J182" s="74">
        <f>IFERROR(IF(B182="","",INDEX(MANO_DE_OBRA!$P$10:$P$72,MATCH(B182&amp;"|"&amp;IF(H182&lt;=0.5,"CHICO",IF(H182&lt;=1,"MEDIANO","GRANDE")),MANO_DE_OBRA!$Q$10:$Q$72,0))),"")</f>
        <v>587.22913499999993</v>
      </c>
      <c r="K182" s="342">
        <f>IFERROR(IF(B182="","",_xlfn.LET(_xlpm.clave_prof,B182&amp;"|"&amp;E182,_xlpm.clave_todas,B182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82" s="75">
        <f>IFERROR(IF(B182="","",IF(I182="",0,I182)+IF(J182="",0,J182)+IF(K182="",0,K182)),"")</f>
        <v>1762.8353849999999</v>
      </c>
      <c r="M182" s="75">
        <f>IFERROR(IF(L182="","",L182*$D$8),"")</f>
        <v>2203.5442312499999</v>
      </c>
      <c r="N182" s="76">
        <f>IFERROR(IF(M182="","",CEILING(M182,50)),"")</f>
        <v>2250</v>
      </c>
      <c r="O182" s="77">
        <v>0</v>
      </c>
      <c r="P182" s="78">
        <f>IFERROR(IF(G182="","",G182*N182*(1-O182)),"")</f>
        <v>2250</v>
      </c>
      <c r="Q182" s="79"/>
    </row>
    <row r="183" spans="1:17" ht="19.5" customHeight="1" x14ac:dyDescent="0.2">
      <c r="A183" s="72" t="s">
        <v>1638</v>
      </c>
      <c r="B183" s="69" t="s">
        <v>193</v>
      </c>
      <c r="C183" s="69">
        <v>75</v>
      </c>
      <c r="D183" s="69">
        <v>175</v>
      </c>
      <c r="E183" s="69" t="s">
        <v>97</v>
      </c>
      <c r="F183" s="69" t="s">
        <v>178</v>
      </c>
      <c r="G183" s="69">
        <v>1</v>
      </c>
      <c r="H183" s="73">
        <f>IFERROR(IF(B183="","",(C183/100)*(D183/100)),"")</f>
        <v>1.3125</v>
      </c>
      <c r="I183" s="74">
        <f>IFERROR(IF(B183="","",_xlfn.LET(_xlpm.tamano,IF(H183&lt;=0.5,"CHICO",IF(H183&lt;=1,"MEDIANO","GRANDE")),_xlpm.clave,B183&amp;"|"&amp;_xlpm.tamano,_xlpm.fila,MATCH(_xlpm.clave,COSTOS_M2!$H$5:$H$67,0),_xlpm.mat_m2,INDEX(IF(F183="HUANACAXTLE",COSTOS_M2!$D$5:$D$67,IF(F183="ENCINO",COSTOS_M2!$E$5:$E$67,COSTOS_M2!$F$5:$F$67)),_xlpm.fila),_xlpm.cons_m2,INDEX(COSTOS_M2!$G$5:$G$67,_xlpm.fila),_xlpm.prof_factor,IF(AND(E183&lt;&gt;"—",E183&lt;&gt;"",ISNUMBER(E183)),POWER(E183/40,1.8),1),_xlpm.total_m2,(_xlpm.mat_m2+_xlpm.cons_m2)*H183*_xlpm.prof_factor*IF(C183&gt;70,COSTOS_M2!$B$70,1)*IF(D183&gt;244,COSTOS_M2!$B$71,1),_xlpm.total_m2)),"")</f>
        <v>1933.1812500000001</v>
      </c>
      <c r="J183" s="74">
        <f>IFERROR(IF(B183="","",INDEX(MANO_DE_OBRA!$P$10:$P$72,MATCH(B183&amp;"|"&amp;IF(H183&lt;=0.5,"CHICO",IF(H183&lt;=1,"MEDIANO","GRANDE")),MANO_DE_OBRA!$Q$10:$Q$72,0))),"")</f>
        <v>751.15698000000009</v>
      </c>
      <c r="K183" s="342">
        <f>IFERROR(IF(B183="","",_xlfn.LET(_xlpm.clave_prof,B183&amp;"|"&amp;E183,_xlpm.clave_todas,B183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83" s="75">
        <f>IFERROR(IF(B183="","",IF(I183="",0,I183)+IF(J183="",0,J183)+IF(K183="",0,K183)),"")</f>
        <v>2684.3382300000003</v>
      </c>
      <c r="M183" s="75">
        <f>IFERROR(IF(L183="","",L183*$D$8),"")</f>
        <v>3355.4227875000006</v>
      </c>
      <c r="N183" s="76">
        <f>IFERROR(IF(M183="","",CEILING(M183,50)),"")</f>
        <v>3400</v>
      </c>
      <c r="O183" s="77">
        <v>0</v>
      </c>
      <c r="P183" s="78">
        <f>IFERROR(IF(G183="","",G183*N183*(1-O183)),"")</f>
        <v>3400</v>
      </c>
      <c r="Q183" s="79"/>
    </row>
    <row r="184" spans="1:17" ht="19.5" customHeight="1" x14ac:dyDescent="0.2">
      <c r="A184" s="72" t="s">
        <v>1638</v>
      </c>
      <c r="B184" s="69" t="s">
        <v>192</v>
      </c>
      <c r="C184" s="69">
        <v>75</v>
      </c>
      <c r="D184" s="69">
        <v>90</v>
      </c>
      <c r="E184" s="69" t="s">
        <v>97</v>
      </c>
      <c r="F184" s="69" t="s">
        <v>178</v>
      </c>
      <c r="G184" s="69">
        <v>1</v>
      </c>
      <c r="H184" s="73">
        <f>IFERROR(IF(B184="","",(C184/100)*(D184/100)),"")</f>
        <v>0.67500000000000004</v>
      </c>
      <c r="I184" s="74">
        <f>IFERROR(IF(B184="","",_xlfn.LET(_xlpm.tamano,IF(H184&lt;=0.5,"CHICO",IF(H184&lt;=1,"MEDIANO","GRANDE")),_xlpm.clave,B184&amp;"|"&amp;_xlpm.tamano,_xlpm.fila,MATCH(_xlpm.clave,COSTOS_M2!$H$5:$H$67,0),_xlpm.mat_m2,INDEX(IF(F184="HUANACAXTLE",COSTOS_M2!$D$5:$D$67,IF(F184="ENCINO",COSTOS_M2!$E$5:$E$67,COSTOS_M2!$F$5:$F$67)),_xlpm.fila),_xlpm.cons_m2,INDEX(COSTOS_M2!$G$5:$G$67,_xlpm.fila),_xlpm.prof_factor,IF(AND(E184&lt;&gt;"—",E184&lt;&gt;"",ISNUMBER(E184)),POWER(E184/40,1.8),1),_xlpm.total_m2,(_xlpm.mat_m2+_xlpm.cons_m2)*H184*_xlpm.prof_factor*IF(C184&gt;70,COSTOS_M2!$B$70,1)*IF(D184&gt;244,COSTOS_M2!$B$71,1),_xlpm.total_m2)),"")</f>
        <v>638.82000000000005</v>
      </c>
      <c r="J184" s="74">
        <f>IFERROR(IF(B184="","",INDEX(MANO_DE_OBRA!$P$10:$P$72,MATCH(B184&amp;"|"&amp;IF(H184&lt;=0.5,"CHICO",IF(H184&lt;=1,"MEDIANO","GRANDE")),MANO_DE_OBRA!$Q$10:$Q$72,0))),"")</f>
        <v>511.74689999999987</v>
      </c>
      <c r="K184" s="342">
        <f>IFERROR(IF(B184="","",_xlfn.LET(_xlpm.clave_prof,B184&amp;"|"&amp;E184,_xlpm.clave_todas,B184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84" s="75">
        <f>IFERROR(IF(B184="","",IF(I184="",0,I184)+IF(J184="",0,J184)+IF(K184="",0,K184)),"")</f>
        <v>1150.5668999999998</v>
      </c>
      <c r="M184" s="75">
        <f>IFERROR(IF(L184="","",L184*$D$8),"")</f>
        <v>1438.2086249999998</v>
      </c>
      <c r="N184" s="76">
        <f>IFERROR(IF(M184="","",CEILING(M184,50)),"")</f>
        <v>1450</v>
      </c>
      <c r="O184" s="77">
        <v>0</v>
      </c>
      <c r="P184" s="78">
        <f>IFERROR(IF(G184="","",G184*N184*(1-O184)),"")</f>
        <v>1450</v>
      </c>
      <c r="Q184" s="79"/>
    </row>
    <row r="185" spans="1:17" ht="19.5" customHeight="1" x14ac:dyDescent="0.2">
      <c r="A185" s="72" t="s">
        <v>1638</v>
      </c>
      <c r="B185" s="69" t="s">
        <v>1623</v>
      </c>
      <c r="C185" s="69">
        <v>75</v>
      </c>
      <c r="D185" s="69">
        <v>80</v>
      </c>
      <c r="E185" s="69" t="s">
        <v>97</v>
      </c>
      <c r="F185" s="69" t="s">
        <v>178</v>
      </c>
      <c r="G185" s="69">
        <v>6</v>
      </c>
      <c r="H185" s="73">
        <f>IFERROR(IF(B185="","",(C185/100)*(D185/100)),"")</f>
        <v>0.60000000000000009</v>
      </c>
      <c r="I185" s="74">
        <f>IFERROR(IF(B185="","",_xlfn.LET(_xlpm.tamano,IF(H185&lt;=0.5,"CHICO",IF(H185&lt;=1,"MEDIANO","GRANDE")),_xlpm.clave,B185&amp;"|"&amp;_xlpm.tamano,_xlpm.fila,MATCH(_xlpm.clave,COSTOS_M2!$H$5:$H$67,0),_xlpm.mat_m2,INDEX(IF(F185="HUANACAXTLE",COSTOS_M2!$D$5:$D$67,IF(F185="ENCINO",COSTOS_M2!$E$5:$E$67,COSTOS_M2!$F$5:$F$67)),_xlpm.fila),_xlpm.cons_m2,INDEX(COSTOS_M2!$G$5:$G$67,_xlpm.fila),_xlpm.prof_factor,IF(AND(E185&lt;&gt;"—",E185&lt;&gt;"",ISNUMBER(E185)),POWER(E185/40,1.8),1),_xlpm.total_m2,(_xlpm.mat_m2+_xlpm.cons_m2)*H185*_xlpm.prof_factor*IF(C185&gt;70,COSTOS_M2!$B$70,1)*IF(D185&gt;244,COSTOS_M2!$B$71,1),_xlpm.total_m2)),"")</f>
        <v>612.30000000000007</v>
      </c>
      <c r="J185" s="74">
        <f>IFERROR(IF(B185="","",INDEX(MANO_DE_OBRA!$P$10:$P$72,MATCH(B185&amp;"|"&amp;IF(H185&lt;=0.5,"CHICO",IF(H185&lt;=1,"MEDIANO","GRANDE")),MANO_DE_OBRA!$Q$10:$Q$72,0))),"")</f>
        <v>400.55880000000002</v>
      </c>
      <c r="K185" s="342">
        <f>IFERROR(IF(B185="","",_xlfn.LET(_xlpm.clave_prof,B185&amp;"|"&amp;E185,_xlpm.clave_todas,B185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85" s="75">
        <f>IFERROR(IF(B185="","",IF(I185="",0,I185)+IF(J185="",0,J185)+IF(K185="",0,K185)),"")</f>
        <v>1012.8588000000001</v>
      </c>
      <c r="M185" s="75">
        <f>IFERROR(IF(L185="","",L185*$D$8),"")</f>
        <v>1266.0735000000002</v>
      </c>
      <c r="N185" s="76">
        <f>IFERROR(IF(M185="","",CEILING(M185,50)),"")</f>
        <v>1300</v>
      </c>
      <c r="O185" s="77">
        <v>0</v>
      </c>
      <c r="P185" s="78">
        <f>IFERROR(IF(G185="","",G185*N185*(1-O185)),"")</f>
        <v>7800</v>
      </c>
      <c r="Q185" s="79"/>
    </row>
    <row r="186" spans="1:17" ht="19.5" customHeight="1" x14ac:dyDescent="0.2">
      <c r="A186" s="72" t="s">
        <v>1638</v>
      </c>
      <c r="B186" s="69" t="s">
        <v>1628</v>
      </c>
      <c r="C186" s="69">
        <v>160</v>
      </c>
      <c r="D186" s="69">
        <v>175</v>
      </c>
      <c r="E186" s="69" t="s">
        <v>97</v>
      </c>
      <c r="F186" s="69" t="s">
        <v>178</v>
      </c>
      <c r="G186" s="69">
        <v>1</v>
      </c>
      <c r="H186" s="73">
        <f>IFERROR(IF(B186="","",(C186/100)*(D186/100)),"")</f>
        <v>2.8000000000000003</v>
      </c>
      <c r="I186" s="74">
        <f>IFERROR(IF(B186="","",_xlfn.LET(_xlpm.tamano,IF(H186&lt;=0.5,"CHICO",IF(H186&lt;=1,"MEDIANO","GRANDE")),_xlpm.clave,B186&amp;"|"&amp;_xlpm.tamano,_xlpm.fila,MATCH(_xlpm.clave,COSTOS_M2!$H$5:$H$67,0),_xlpm.mat_m2,INDEX(IF(F186="HUANACAXTLE",COSTOS_M2!$D$5:$D$67,IF(F186="ENCINO",COSTOS_M2!$E$5:$E$67,COSTOS_M2!$F$5:$F$67)),_xlpm.fila),_xlpm.cons_m2,INDEX(COSTOS_M2!$G$5:$G$67,_xlpm.fila),_xlpm.prof_factor,IF(AND(E186&lt;&gt;"—",E186&lt;&gt;"",ISNUMBER(E186)),POWER(E186/40,1.8),1),_xlpm.total_m2,(_xlpm.mat_m2+_xlpm.cons_m2)*H186*_xlpm.prof_factor*IF(C186&gt;70,COSTOS_M2!$B$70,1)*IF(D186&gt;244,COSTOS_M2!$B$71,1),_xlpm.total_m2)),"")</f>
        <v>855.4000000000002</v>
      </c>
      <c r="J186" s="74">
        <f>IFERROR(IF(B186="","",INDEX(MANO_DE_OBRA!$P$10:$P$72,MATCH(B186&amp;"|"&amp;IF(H186&lt;=0.5,"CHICO",IF(H186&lt;=1,"MEDIANO","GRANDE")),MANO_DE_OBRA!$Q$10:$Q$72,0))),"")</f>
        <v>295.7955</v>
      </c>
      <c r="K186" s="342">
        <f>IFERROR(IF(B186="","",_xlfn.LET(_xlpm.clave_prof,B186&amp;"|"&amp;E186,_xlpm.clave_todas,B186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86" s="75">
        <f>IFERROR(IF(B186="","",IF(I186="",0,I186)+IF(J186="",0,J186)+IF(K186="",0,K186)),"")</f>
        <v>1151.1955000000003</v>
      </c>
      <c r="M186" s="75">
        <f>IFERROR(IF(L186="","",L186*$D$8),"")</f>
        <v>1438.9943750000002</v>
      </c>
      <c r="N186" s="76">
        <f>IFERROR(IF(M186="","",CEILING(M186,50)),"")</f>
        <v>1450</v>
      </c>
      <c r="O186" s="77">
        <v>0</v>
      </c>
      <c r="P186" s="78">
        <f>IFERROR(IF(G186="","",G186*N186*(1-O186)),"")</f>
        <v>1450</v>
      </c>
      <c r="Q186" s="79"/>
    </row>
    <row r="187" spans="1:17" ht="19.5" customHeight="1" x14ac:dyDescent="0.2">
      <c r="A187" s="72" t="s">
        <v>1638</v>
      </c>
      <c r="B187" s="432" t="s">
        <v>1651</v>
      </c>
      <c r="C187" s="69"/>
      <c r="D187" s="69"/>
      <c r="E187" s="69" t="s">
        <v>97</v>
      </c>
      <c r="F187" s="69"/>
      <c r="G187" s="69"/>
      <c r="H187" s="73">
        <f>IFERROR(IF(B187="","",(C187/100)*(D187/100)),"")</f>
        <v>0</v>
      </c>
      <c r="I187" s="74" t="str">
        <f>IFERROR(IF(B187="","",_xlfn.LET(_xlpm.tamano,IF(H187&lt;=0.5,"CHICO",IF(H187&lt;=1,"MEDIANO","GRANDE")),_xlpm.clave,B187&amp;"|"&amp;_xlpm.tamano,_xlpm.fila,MATCH(_xlpm.clave,COSTOS_M2!$H$5:$H$67,0),_xlpm.mat_m2,INDEX(IF(F187="HUANACAXTLE",COSTOS_M2!$D$5:$D$67,IF(F187="ENCINO",COSTOS_M2!$E$5:$E$67,COSTOS_M2!$F$5:$F$67)),_xlpm.fila),_xlpm.cons_m2,INDEX(COSTOS_M2!$G$5:$G$67,_xlpm.fila),_xlpm.prof_factor,IF(AND(E187&lt;&gt;"—",E187&lt;&gt;"",ISNUMBER(E187)),POWER(E187/40,1.8),1),_xlpm.total_m2,(_xlpm.mat_m2+_xlpm.cons_m2)*H187*_xlpm.prof_factor*IF(C187&gt;70,COSTOS_M2!$B$70,1)*IF(D187&gt;244,COSTOS_M2!$B$71,1),_xlpm.total_m2)),"")</f>
        <v/>
      </c>
      <c r="J187" s="74" t="str">
        <f>IFERROR(IF(B187="","",INDEX(MANO_DE_OBRA!$P$10:$P$72,MATCH(B187&amp;"|"&amp;IF(H187&lt;=0.5,"CHICO",IF(H187&lt;=1,"MEDIANO","GRANDE")),MANO_DE_OBRA!$Q$10:$Q$72,0))),"")</f>
        <v/>
      </c>
      <c r="K187" s="342">
        <f>IFERROR(IF(B187="","",_xlfn.LET(_xlpm.clave_prof,B187&amp;"|"&amp;E187,_xlpm.clave_todas,B187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87" s="75">
        <f>IFERROR(IF(B187="","",IF(I187="",0,I187)+IF(J187="",0,J187)+IF(K187="",0,K187)),"")</f>
        <v>0</v>
      </c>
      <c r="M187" s="75">
        <f>IFERROR(IF(L187="","",L187*$D$8),"")</f>
        <v>0</v>
      </c>
      <c r="N187" s="76">
        <f>IFERROR(IF(M187="","",CEILING(M187,50)),"")</f>
        <v>0</v>
      </c>
      <c r="O187" s="77"/>
      <c r="P187" s="78" t="str">
        <f>IFERROR(IF(G187="","",G187*N187*(1-O187)),"")</f>
        <v/>
      </c>
      <c r="Q187" s="79"/>
    </row>
    <row r="188" spans="1:17" ht="19.5" customHeight="1" x14ac:dyDescent="0.2">
      <c r="A188" s="72" t="s">
        <v>1638</v>
      </c>
      <c r="B188" s="69" t="s">
        <v>195</v>
      </c>
      <c r="C188" s="69">
        <v>75</v>
      </c>
      <c r="D188" s="69">
        <v>90</v>
      </c>
      <c r="E188" s="69" t="s">
        <v>97</v>
      </c>
      <c r="F188" s="69" t="s">
        <v>178</v>
      </c>
      <c r="G188" s="69">
        <v>1</v>
      </c>
      <c r="H188" s="73">
        <f>IFERROR(IF(B188="","",(C188/100)*(D188/100)),"")</f>
        <v>0.67500000000000004</v>
      </c>
      <c r="I188" s="74">
        <f>IFERROR(IF(B188="","",_xlfn.LET(_xlpm.tamano,IF(H188&lt;=0.5,"CHICO",IF(H188&lt;=1,"MEDIANO","GRANDE")),_xlpm.clave,B188&amp;"|"&amp;_xlpm.tamano,_xlpm.fila,MATCH(_xlpm.clave,COSTOS_M2!$H$5:$H$67,0),_xlpm.mat_m2,INDEX(IF(F188="HUANACAXTLE",COSTOS_M2!$D$5:$D$67,IF(F188="ENCINO",COSTOS_M2!$E$5:$E$67,COSTOS_M2!$F$5:$F$67)),_xlpm.fila),_xlpm.cons_m2,INDEX(COSTOS_M2!$G$5:$G$67,_xlpm.fila),_xlpm.prof_factor,IF(AND(E188&lt;&gt;"—",E188&lt;&gt;"",ISNUMBER(E188)),POWER(E188/40,1.8),1),_xlpm.total_m2,(_xlpm.mat_m2+_xlpm.cons_m2)*H188*_xlpm.prof_factor*IF(C188&gt;70,COSTOS_M2!$B$70,1)*IF(D188&gt;244,COSTOS_M2!$B$71,1),_xlpm.total_m2)),"")</f>
        <v>616.005</v>
      </c>
      <c r="J188" s="74">
        <f>IFERROR(IF(B188="","",INDEX(MANO_DE_OBRA!$P$10:$P$72,MATCH(B188&amp;"|"&amp;IF(H188&lt;=0.5,"CHICO",IF(H188&lt;=1,"MEDIANO","GRANDE")),MANO_DE_OBRA!$Q$10:$Q$72,0))),"")</f>
        <v>469.28723999999994</v>
      </c>
      <c r="K188" s="342">
        <f>IFERROR(IF(B188="","",_xlfn.LET(_xlpm.clave_prof,B188&amp;"|"&amp;E188,_xlpm.clave_todas,B188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88" s="75">
        <f>IFERROR(IF(B188="","",IF(I188="",0,I188)+IF(J188="",0,J188)+IF(K188="",0,K188)),"")</f>
        <v>1085.29224</v>
      </c>
      <c r="M188" s="75">
        <f>IFERROR(IF(L188="","",L188*$D$8),"")</f>
        <v>1356.6152999999999</v>
      </c>
      <c r="N188" s="76">
        <f>IFERROR(IF(M188="","",CEILING(M188,50)),"")</f>
        <v>1400</v>
      </c>
      <c r="O188" s="77">
        <v>0</v>
      </c>
      <c r="P188" s="78">
        <f>IFERROR(IF(G188="","",G188*N188*(1-O188)),"")</f>
        <v>1400</v>
      </c>
      <c r="Q188" s="79"/>
    </row>
    <row r="189" spans="1:17" ht="19.5" customHeight="1" x14ac:dyDescent="0.2">
      <c r="A189" s="72" t="s">
        <v>1638</v>
      </c>
      <c r="B189" s="69" t="s">
        <v>196</v>
      </c>
      <c r="C189" s="69">
        <v>75</v>
      </c>
      <c r="D189" s="69">
        <v>90</v>
      </c>
      <c r="E189" s="69" t="s">
        <v>97</v>
      </c>
      <c r="F189" s="69" t="s">
        <v>178</v>
      </c>
      <c r="G189" s="69">
        <v>1</v>
      </c>
      <c r="H189" s="73">
        <f>IFERROR(IF(B189="","",(C189/100)*(D189/100)),"")</f>
        <v>0.67500000000000004</v>
      </c>
      <c r="I189" s="74">
        <f>IFERROR(IF(B189="","",_xlfn.LET(_xlpm.tamano,IF(H189&lt;=0.5,"CHICO",IF(H189&lt;=1,"MEDIANO","GRANDE")),_xlpm.clave,B189&amp;"|"&amp;_xlpm.tamano,_xlpm.fila,MATCH(_xlpm.clave,COSTOS_M2!$H$5:$H$67,0),_xlpm.mat_m2,INDEX(IF(F189="HUANACAXTLE",COSTOS_M2!$D$5:$D$67,IF(F189="ENCINO",COSTOS_M2!$E$5:$E$67,COSTOS_M2!$F$5:$F$67)),_xlpm.fila),_xlpm.cons_m2,INDEX(COSTOS_M2!$G$5:$G$67,_xlpm.fila),_xlpm.prof_factor,IF(AND(E189&lt;&gt;"—",E189&lt;&gt;"",ISNUMBER(E189)),POWER(E189/40,1.8),1),_xlpm.total_m2,(_xlpm.mat_m2+_xlpm.cons_m2)*H189*_xlpm.prof_factor*IF(C189&gt;70,COSTOS_M2!$B$70,1)*IF(D189&gt;244,COSTOS_M2!$B$71,1),_xlpm.total_m2)),"")</f>
        <v>733.59000000000015</v>
      </c>
      <c r="J189" s="74">
        <f>IFERROR(IF(B189="","",INDEX(MANO_DE_OBRA!$P$10:$P$72,MATCH(B189&amp;"|"&amp;IF(H189&lt;=0.5,"CHICO",IF(H189&lt;=1,"MEDIANO","GRANDE")),MANO_DE_OBRA!$Q$10:$Q$72,0))),"")</f>
        <v>520.05040499999996</v>
      </c>
      <c r="K189" s="342">
        <f>IFERROR(IF(B189="","",_xlfn.LET(_xlpm.clave_prof,B189&amp;"|"&amp;E189,_xlpm.clave_todas,B189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89" s="75">
        <f>IFERROR(IF(B189="","",IF(I189="",0,I189)+IF(J189="",0,J189)+IF(K189="",0,K189)),"")</f>
        <v>1253.6404050000001</v>
      </c>
      <c r="M189" s="75">
        <f>IFERROR(IF(L189="","",L189*$D$8),"")</f>
        <v>1567.0505062500001</v>
      </c>
      <c r="N189" s="76">
        <f>IFERROR(IF(M189="","",CEILING(M189,50)),"")</f>
        <v>1600</v>
      </c>
      <c r="O189" s="77">
        <v>0</v>
      </c>
      <c r="P189" s="78">
        <f>IFERROR(IF(G189="","",G189*N189*(1-O189)),"")</f>
        <v>1600</v>
      </c>
      <c r="Q189" s="79"/>
    </row>
    <row r="190" spans="1:17" ht="19.5" customHeight="1" x14ac:dyDescent="0.2">
      <c r="A190" s="72" t="s">
        <v>1638</v>
      </c>
      <c r="B190" s="69" t="s">
        <v>192</v>
      </c>
      <c r="C190" s="69">
        <v>75</v>
      </c>
      <c r="D190" s="69">
        <v>240</v>
      </c>
      <c r="E190" s="69" t="s">
        <v>97</v>
      </c>
      <c r="F190" s="69" t="s">
        <v>178</v>
      </c>
      <c r="G190" s="69">
        <v>1</v>
      </c>
      <c r="H190" s="73">
        <f>IFERROR(IF(B190="","",(C190/100)*(D190/100)),"")</f>
        <v>1.7999999999999998</v>
      </c>
      <c r="I190" s="74">
        <f>IFERROR(IF(B190="","",_xlfn.LET(_xlpm.tamano,IF(H190&lt;=0.5,"CHICO",IF(H190&lt;=1,"MEDIANO","GRANDE")),_xlpm.clave,B190&amp;"|"&amp;_xlpm.tamano,_xlpm.fila,MATCH(_xlpm.clave,COSTOS_M2!$H$5:$H$67,0),_xlpm.mat_m2,INDEX(IF(F190="HUANACAXTLE",COSTOS_M2!$D$5:$D$67,IF(F190="ENCINO",COSTOS_M2!$E$5:$E$67,COSTOS_M2!$F$5:$F$67)),_xlpm.fila),_xlpm.cons_m2,INDEX(COSTOS_M2!$G$5:$G$67,_xlpm.fila),_xlpm.prof_factor,IF(AND(E190&lt;&gt;"—",E190&lt;&gt;"",ISNUMBER(E190)),POWER(E190/40,1.8),1),_xlpm.total_m2,(_xlpm.mat_m2+_xlpm.cons_m2)*H190*_xlpm.prof_factor*IF(C190&gt;70,COSTOS_M2!$B$70,1)*IF(D190&gt;244,COSTOS_M2!$B$71,1),_xlpm.total_m2)),"")</f>
        <v>1612.2599999999998</v>
      </c>
      <c r="J190" s="74">
        <f>IFERROR(IF(B190="","",INDEX(MANO_DE_OBRA!$P$10:$P$72,MATCH(B190&amp;"|"&amp;IF(H190&lt;=0.5,"CHICO",IF(H190&lt;=1,"MEDIANO","GRANDE")),MANO_DE_OBRA!$Q$10:$Q$72,0))),"")</f>
        <v>587.22913499999993</v>
      </c>
      <c r="K190" s="342">
        <f>IFERROR(IF(B190="","",_xlfn.LET(_xlpm.clave_prof,B190&amp;"|"&amp;E190,_xlpm.clave_todas,B190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90" s="75">
        <f>IFERROR(IF(B190="","",IF(I190="",0,I190)+IF(J190="",0,J190)+IF(K190="",0,K190)),"")</f>
        <v>2199.4891349999998</v>
      </c>
      <c r="M190" s="75">
        <f>IFERROR(IF(L190="","",L190*$D$8),"")</f>
        <v>2749.3614187499998</v>
      </c>
      <c r="N190" s="76">
        <f>IFERROR(IF(M190="","",CEILING(M190,50)),"")</f>
        <v>2750</v>
      </c>
      <c r="O190" s="77">
        <v>0</v>
      </c>
      <c r="P190" s="78">
        <f>IFERROR(IF(G190="","",G190*N190*(1-O190)),"")</f>
        <v>2750</v>
      </c>
      <c r="Q190" s="79"/>
    </row>
    <row r="191" spans="1:17" ht="19.5" customHeight="1" x14ac:dyDescent="0.2">
      <c r="A191" s="72" t="s">
        <v>1638</v>
      </c>
      <c r="B191" s="69" t="s">
        <v>193</v>
      </c>
      <c r="C191" s="69">
        <v>75</v>
      </c>
      <c r="D191" s="69">
        <v>240</v>
      </c>
      <c r="E191" s="69" t="s">
        <v>97</v>
      </c>
      <c r="F191" s="69" t="s">
        <v>178</v>
      </c>
      <c r="G191" s="69">
        <v>1</v>
      </c>
      <c r="H191" s="73">
        <f>IFERROR(IF(B191="","",(C191/100)*(D191/100)),"")</f>
        <v>1.7999999999999998</v>
      </c>
      <c r="I191" s="74">
        <f>IFERROR(IF(B191="","",_xlfn.LET(_xlpm.tamano,IF(H191&lt;=0.5,"CHICO",IF(H191&lt;=1,"MEDIANO","GRANDE")),_xlpm.clave,B191&amp;"|"&amp;_xlpm.tamano,_xlpm.fila,MATCH(_xlpm.clave,COSTOS_M2!$H$5:$H$67,0),_xlpm.mat_m2,INDEX(IF(F191="HUANACAXTLE",COSTOS_M2!$D$5:$D$67,IF(F191="ENCINO",COSTOS_M2!$E$5:$E$67,COSTOS_M2!$F$5:$F$67)),_xlpm.fila),_xlpm.cons_m2,INDEX(COSTOS_M2!$G$5:$G$67,_xlpm.fila),_xlpm.prof_factor,IF(AND(E191&lt;&gt;"—",E191&lt;&gt;"",ISNUMBER(E191)),POWER(E191/40,1.8),1),_xlpm.total_m2,(_xlpm.mat_m2+_xlpm.cons_m2)*H191*_xlpm.prof_factor*IF(C191&gt;70,COSTOS_M2!$B$70,1)*IF(D191&gt;244,COSTOS_M2!$B$71,1),_xlpm.total_m2)),"")</f>
        <v>2651.22</v>
      </c>
      <c r="J191" s="74">
        <f>IFERROR(IF(B191="","",INDEX(MANO_DE_OBRA!$P$10:$P$72,MATCH(B191&amp;"|"&amp;IF(H191&lt;=0.5,"CHICO",IF(H191&lt;=1,"MEDIANO","GRANDE")),MANO_DE_OBRA!$Q$10:$Q$72,0))),"")</f>
        <v>751.15698000000009</v>
      </c>
      <c r="K191" s="342">
        <f>IFERROR(IF(B191="","",_xlfn.LET(_xlpm.clave_prof,B191&amp;"|"&amp;E191,_xlpm.clave_todas,B191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91" s="75">
        <f>IFERROR(IF(B191="","",IF(I191="",0,I191)+IF(J191="",0,J191)+IF(K191="",0,K191)),"")</f>
        <v>3402.37698</v>
      </c>
      <c r="M191" s="75">
        <f>IFERROR(IF(L191="","",L191*$D$8),"")</f>
        <v>4252.9712250000002</v>
      </c>
      <c r="N191" s="76">
        <f>IFERROR(IF(M191="","",CEILING(M191,50)),"")</f>
        <v>4300</v>
      </c>
      <c r="O191" s="77">
        <v>0</v>
      </c>
      <c r="P191" s="78">
        <f>IFERROR(IF(G191="","",G191*N191*(1-O191)),"")</f>
        <v>4300</v>
      </c>
      <c r="Q191" s="79"/>
    </row>
    <row r="192" spans="1:17" ht="19.5" customHeight="1" x14ac:dyDescent="0.2">
      <c r="A192" s="72" t="s">
        <v>1638</v>
      </c>
      <c r="B192" s="69" t="s">
        <v>1623</v>
      </c>
      <c r="C192" s="69">
        <v>75</v>
      </c>
      <c r="D192" s="69">
        <v>86</v>
      </c>
      <c r="E192" s="69" t="s">
        <v>97</v>
      </c>
      <c r="F192" s="69" t="s">
        <v>178</v>
      </c>
      <c r="G192" s="69">
        <v>5</v>
      </c>
      <c r="H192" s="73">
        <f>IFERROR(IF(B192="","",(C192/100)*(D192/100)),"")</f>
        <v>0.64500000000000002</v>
      </c>
      <c r="I192" s="74">
        <f>IFERROR(IF(B192="","",_xlfn.LET(_xlpm.tamano,IF(H192&lt;=0.5,"CHICO",IF(H192&lt;=1,"MEDIANO","GRANDE")),_xlpm.clave,B192&amp;"|"&amp;_xlpm.tamano,_xlpm.fila,MATCH(_xlpm.clave,COSTOS_M2!$H$5:$H$67,0),_xlpm.mat_m2,INDEX(IF(F192="HUANACAXTLE",COSTOS_M2!$D$5:$D$67,IF(F192="ENCINO",COSTOS_M2!$E$5:$E$67,COSTOS_M2!$F$5:$F$67)),_xlpm.fila),_xlpm.cons_m2,INDEX(COSTOS_M2!$G$5:$G$67,_xlpm.fila),_xlpm.prof_factor,IF(AND(E192&lt;&gt;"—",E192&lt;&gt;"",ISNUMBER(E192)),POWER(E192/40,1.8),1),_xlpm.total_m2,(_xlpm.mat_m2+_xlpm.cons_m2)*H192*_xlpm.prof_factor*IF(C192&gt;70,COSTOS_M2!$B$70,1)*IF(D192&gt;244,COSTOS_M2!$B$71,1),_xlpm.total_m2)),"")</f>
        <v>658.22249999999997</v>
      </c>
      <c r="J192" s="74">
        <f>IFERROR(IF(B192="","",INDEX(MANO_DE_OBRA!$P$10:$P$72,MATCH(B192&amp;"|"&amp;IF(H192&lt;=0.5,"CHICO",IF(H192&lt;=1,"MEDIANO","GRANDE")),MANO_DE_OBRA!$Q$10:$Q$72,0))),"")</f>
        <v>400.55880000000002</v>
      </c>
      <c r="K192" s="342">
        <f>IFERROR(IF(B192="","",_xlfn.LET(_xlpm.clave_prof,B192&amp;"|"&amp;E192,_xlpm.clave_todas,B192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92" s="75">
        <f>IFERROR(IF(B192="","",IF(I192="",0,I192)+IF(J192="",0,J192)+IF(K192="",0,K192)),"")</f>
        <v>1058.7813000000001</v>
      </c>
      <c r="M192" s="75">
        <f>IFERROR(IF(L192="","",L192*$D$8),"")</f>
        <v>1323.4766250000002</v>
      </c>
      <c r="N192" s="76">
        <f>IFERROR(IF(M192="","",CEILING(M192,50)),"")</f>
        <v>1350</v>
      </c>
      <c r="O192" s="77">
        <v>0</v>
      </c>
      <c r="P192" s="78">
        <f>IFERROR(IF(G192="","",G192*N192*(1-O192)),"")</f>
        <v>6750</v>
      </c>
      <c r="Q192" s="79"/>
    </row>
    <row r="193" spans="1:17" ht="19.5" customHeight="1" x14ac:dyDescent="0.2">
      <c r="A193" s="72" t="s">
        <v>1638</v>
      </c>
      <c r="B193" s="69" t="s">
        <v>1628</v>
      </c>
      <c r="C193" s="69">
        <v>90</v>
      </c>
      <c r="D193" s="69">
        <v>240</v>
      </c>
      <c r="E193" s="69" t="s">
        <v>97</v>
      </c>
      <c r="F193" s="69" t="s">
        <v>178</v>
      </c>
      <c r="G193" s="69">
        <v>1</v>
      </c>
      <c r="H193" s="73">
        <f>IFERROR(IF(B193="","",(C193/100)*(D193/100)),"")</f>
        <v>2.16</v>
      </c>
      <c r="I193" s="74">
        <f>IFERROR(IF(B193="","",_xlfn.LET(_xlpm.tamano,IF(H193&lt;=0.5,"CHICO",IF(H193&lt;=1,"MEDIANO","GRANDE")),_xlpm.clave,B193&amp;"|"&amp;_xlpm.tamano,_xlpm.fila,MATCH(_xlpm.clave,COSTOS_M2!$H$5:$H$67,0),_xlpm.mat_m2,INDEX(IF(F193="HUANACAXTLE",COSTOS_M2!$D$5:$D$67,IF(F193="ENCINO",COSTOS_M2!$E$5:$E$67,COSTOS_M2!$F$5:$F$67)),_xlpm.fila),_xlpm.cons_m2,INDEX(COSTOS_M2!$G$5:$G$67,_xlpm.fila),_xlpm.prof_factor,IF(AND(E193&lt;&gt;"—",E193&lt;&gt;"",ISNUMBER(E193)),POWER(E193/40,1.8),1),_xlpm.total_m2,(_xlpm.mat_m2+_xlpm.cons_m2)*H193*_xlpm.prof_factor*IF(C193&gt;70,COSTOS_M2!$B$70,1)*IF(D193&gt;244,COSTOS_M2!$B$71,1),_xlpm.total_m2)),"")</f>
        <v>659.88</v>
      </c>
      <c r="J193" s="74">
        <f>IFERROR(IF(B193="","",INDEX(MANO_DE_OBRA!$P$10:$P$72,MATCH(B193&amp;"|"&amp;IF(H193&lt;=0.5,"CHICO",IF(H193&lt;=1,"MEDIANO","GRANDE")),MANO_DE_OBRA!$Q$10:$Q$72,0))),"")</f>
        <v>295.7955</v>
      </c>
      <c r="K193" s="342">
        <f>IFERROR(IF(B193="","",_xlfn.LET(_xlpm.clave_prof,B193&amp;"|"&amp;E193,_xlpm.clave_todas,B193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93" s="75">
        <f>IFERROR(IF(B193="","",IF(I193="",0,I193)+IF(J193="",0,J193)+IF(K193="",0,K193)),"")</f>
        <v>955.67550000000006</v>
      </c>
      <c r="M193" s="75">
        <f>IFERROR(IF(L193="","",L193*$D$8),"")</f>
        <v>1194.5943750000001</v>
      </c>
      <c r="N193" s="76">
        <f>IFERROR(IF(M193="","",CEILING(M193,50)),"")</f>
        <v>1200</v>
      </c>
      <c r="O193" s="77">
        <v>0</v>
      </c>
      <c r="P193" s="78">
        <f>IFERROR(IF(G193="","",G193*N193*(1-O193)),"")</f>
        <v>1200</v>
      </c>
      <c r="Q193" s="79"/>
    </row>
    <row r="194" spans="1:17" ht="19.5" customHeight="1" x14ac:dyDescent="0.2">
      <c r="A194" s="72" t="s">
        <v>1638</v>
      </c>
      <c r="B194" s="69" t="s">
        <v>1627</v>
      </c>
      <c r="C194" s="69">
        <v>5</v>
      </c>
      <c r="D194" s="69">
        <v>400</v>
      </c>
      <c r="E194" s="69" t="s">
        <v>97</v>
      </c>
      <c r="F194" s="69" t="s">
        <v>178</v>
      </c>
      <c r="G194" s="69">
        <v>1</v>
      </c>
      <c r="H194" s="73">
        <f>IFERROR(IF(B194="","",(C194/100)*(D194/100)),"")</f>
        <v>0.2</v>
      </c>
      <c r="I194" s="74">
        <f>IFERROR(IF(B194="","",_xlfn.LET(_xlpm.tamano,IF(H194&lt;=0.5,"CHICO",IF(H194&lt;=1,"MEDIANO","GRANDE")),_xlpm.clave,B194&amp;"|"&amp;_xlpm.tamano,_xlpm.fila,MATCH(_xlpm.clave,COSTOS_M2!$H$5:$H$67,0),_xlpm.mat_m2,INDEX(IF(F194="HUANACAXTLE",COSTOS_M2!$D$5:$D$67,IF(F194="ENCINO",COSTOS_M2!$E$5:$E$67,COSTOS_M2!$F$5:$F$67)),_xlpm.fila),_xlpm.cons_m2,INDEX(COSTOS_M2!$G$5:$G$67,_xlpm.fila),_xlpm.prof_factor,IF(AND(E194&lt;&gt;"—",E194&lt;&gt;"",ISNUMBER(E194)),POWER(E194/40,1.8),1),_xlpm.total_m2,(_xlpm.mat_m2+_xlpm.cons_m2)*H194*_xlpm.prof_factor*IF(C194&gt;70,COSTOS_M2!$B$70,1)*IF(D194&gt;244,COSTOS_M2!$B$71,1),_xlpm.total_m2)),"")</f>
        <v>3926</v>
      </c>
      <c r="J194" s="74">
        <f>IFERROR(IF(B194="","",INDEX(MANO_DE_OBRA!$P$10:$P$72,MATCH(B194&amp;"|"&amp;IF(H194&lt;=0.5,"CHICO",IF(H194&lt;=1,"MEDIANO","GRANDE")),MANO_DE_OBRA!$Q$10:$Q$72,0))),"")</f>
        <v>679.06049999999993</v>
      </c>
      <c r="K194" s="342">
        <f>IFERROR(IF(B194="","",_xlfn.LET(_xlpm.clave_prof,B194&amp;"|"&amp;E194,_xlpm.clave_todas,B194&amp;"|TODAS",_xlpm.herr_prof,SUMIFS(HERRAJES!$H$5:$H$36,HERRAJES!$J$5:$J$36,_xlpm.clave_prof),_xlpm.herr_todas,SUMIFS(HERRAJES!$H$5:$H$36,HERRAJES!$J$5:$J$36,_xlpm.clave_todas),IF(_xlpm.herr_prof&gt;0,_xlpm.herr_prof,_xlpm.herr_todas))),"")</f>
        <v>0</v>
      </c>
      <c r="L194" s="75">
        <f>IFERROR(IF(B194="","",IF(I194="",0,I194)+IF(J194="",0,J194)+IF(K194="",0,K194)),"")</f>
        <v>4605.0604999999996</v>
      </c>
      <c r="M194" s="75">
        <f>IFERROR(IF(L194="","",L194*$D$8),"")</f>
        <v>5756.3256249999995</v>
      </c>
      <c r="N194" s="76">
        <f>IFERROR(IF(M194="","",CEILING(M194,50)),"")</f>
        <v>5800</v>
      </c>
      <c r="O194" s="77">
        <v>0</v>
      </c>
      <c r="P194" s="78">
        <f>IFERROR(IF(G194="","",G194*N194*(1-O194)),"")</f>
        <v>5800</v>
      </c>
      <c r="Q194" s="79"/>
    </row>
    <row r="195" spans="1:17" ht="19.5" customHeight="1" x14ac:dyDescent="0.2">
      <c r="A195" s="72"/>
      <c r="B195" s="69"/>
      <c r="C195" s="69"/>
      <c r="D195" s="69"/>
      <c r="E195" s="69"/>
      <c r="F195" s="69"/>
      <c r="G195" s="69"/>
      <c r="H195" s="73"/>
      <c r="I195" s="74"/>
      <c r="J195" s="74"/>
      <c r="K195" s="342"/>
      <c r="L195" s="75"/>
      <c r="M195" s="75"/>
      <c r="N195" s="76"/>
      <c r="O195" s="77"/>
      <c r="P195" s="78"/>
      <c r="Q195" s="79"/>
    </row>
    <row r="197" spans="1:17" x14ac:dyDescent="0.2">
      <c r="A197" s="87" t="s">
        <v>1604</v>
      </c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353"/>
    </row>
    <row r="198" spans="1:17" x14ac:dyDescent="0.2">
      <c r="A198" s="357" t="s">
        <v>116</v>
      </c>
      <c r="B198" s="356" t="s">
        <v>180</v>
      </c>
      <c r="C198" s="356"/>
      <c r="D198" s="356"/>
      <c r="E198" s="356"/>
      <c r="F198" s="356"/>
      <c r="G198" s="356"/>
      <c r="H198" s="356"/>
      <c r="I198" s="356"/>
      <c r="J198" s="356"/>
      <c r="K198" s="356"/>
      <c r="L198" s="356"/>
      <c r="M198" s="356"/>
      <c r="N198" s="356"/>
      <c r="O198" s="356"/>
      <c r="P198" s="357" t="s">
        <v>1605</v>
      </c>
    </row>
    <row r="199" spans="1:17" x14ac:dyDescent="0.2">
      <c r="A199" s="358">
        <v>1</v>
      </c>
      <c r="B199" s="354" t="s">
        <v>1606</v>
      </c>
      <c r="C199" s="354"/>
      <c r="D199" s="354"/>
      <c r="E199" s="354"/>
      <c r="F199" s="354"/>
      <c r="G199" s="354"/>
      <c r="H199" s="354"/>
      <c r="I199" s="354"/>
      <c r="J199" s="354"/>
      <c r="K199" s="354"/>
      <c r="L199" s="354"/>
      <c r="M199" s="354"/>
      <c r="N199" s="354"/>
      <c r="O199" s="354"/>
      <c r="P199" s="360"/>
    </row>
    <row r="200" spans="1:17" x14ac:dyDescent="0.2">
      <c r="A200" s="359">
        <v>2</v>
      </c>
      <c r="B200" s="355" t="s">
        <v>1607</v>
      </c>
      <c r="C200" s="355"/>
      <c r="D200" s="355"/>
      <c r="E200" s="355"/>
      <c r="F200" s="355"/>
      <c r="G200" s="355"/>
      <c r="H200" s="355"/>
      <c r="I200" s="355"/>
      <c r="J200" s="355"/>
      <c r="K200" s="355"/>
      <c r="L200" s="355"/>
      <c r="M200" s="355"/>
      <c r="N200" s="355"/>
      <c r="O200" s="355"/>
      <c r="P200" s="361">
        <v>0</v>
      </c>
    </row>
    <row r="201" spans="1:17" x14ac:dyDescent="0.2">
      <c r="A201" s="358">
        <v>3</v>
      </c>
      <c r="B201" s="354" t="s">
        <v>1608</v>
      </c>
      <c r="C201" s="354"/>
      <c r="D201" s="354"/>
      <c r="E201" s="354"/>
      <c r="F201" s="354"/>
      <c r="G201" s="354"/>
      <c r="H201" s="354"/>
      <c r="I201" s="354"/>
      <c r="J201" s="354"/>
      <c r="K201" s="354"/>
      <c r="L201" s="354"/>
      <c r="M201" s="354"/>
      <c r="N201" s="354"/>
      <c r="O201" s="354"/>
      <c r="P201" s="360">
        <v>0</v>
      </c>
    </row>
    <row r="202" spans="1:17" x14ac:dyDescent="0.2">
      <c r="A202" s="359">
        <v>4</v>
      </c>
      <c r="B202" s="355" t="s">
        <v>1609</v>
      </c>
      <c r="C202" s="355"/>
      <c r="D202" s="355"/>
      <c r="E202" s="355"/>
      <c r="F202" s="355"/>
      <c r="G202" s="355"/>
      <c r="H202" s="355"/>
      <c r="I202" s="355"/>
      <c r="J202" s="355"/>
      <c r="K202" s="355"/>
      <c r="L202" s="355"/>
      <c r="M202" s="355"/>
      <c r="N202" s="355"/>
      <c r="O202" s="355"/>
      <c r="P202" s="361">
        <v>0</v>
      </c>
    </row>
    <row r="203" spans="1:17" x14ac:dyDescent="0.2">
      <c r="A203" s="358">
        <v>5</v>
      </c>
      <c r="B203" s="354" t="s">
        <v>1610</v>
      </c>
      <c r="C203" s="354"/>
      <c r="D203" s="354"/>
      <c r="E203" s="354"/>
      <c r="F203" s="354"/>
      <c r="G203" s="354"/>
      <c r="H203" s="354"/>
      <c r="I203" s="354"/>
      <c r="J203" s="354"/>
      <c r="K203" s="354"/>
      <c r="L203" s="354"/>
      <c r="M203" s="354"/>
      <c r="N203" s="354"/>
      <c r="O203" s="354"/>
      <c r="P203" s="360">
        <v>0</v>
      </c>
    </row>
    <row r="204" spans="1:17" ht="16" thickBot="1" x14ac:dyDescent="0.25"/>
    <row r="205" spans="1:17" ht="17" thickBot="1" x14ac:dyDescent="0.25">
      <c r="A205" s="362" t="s">
        <v>1611</v>
      </c>
      <c r="B205" s="362"/>
      <c r="C205" s="362"/>
      <c r="D205" s="362"/>
      <c r="E205" s="362"/>
      <c r="F205" s="362"/>
      <c r="G205" s="362"/>
      <c r="H205" s="362"/>
      <c r="I205" s="362"/>
      <c r="J205" s="362"/>
      <c r="K205" s="362"/>
      <c r="L205" s="362"/>
      <c r="M205" s="362"/>
      <c r="N205" s="362"/>
      <c r="O205" s="362"/>
      <c r="P205" s="363">
        <f>SUM(P199:P203)</f>
        <v>0</v>
      </c>
    </row>
    <row r="206" spans="1:17" ht="24" customHeight="1" x14ac:dyDescent="0.2">
      <c r="A206" s="85" t="s">
        <v>1612</v>
      </c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0">
        <f>SUMIF(P14:P194,"&lt;&gt;""",P14:P194)+P205</f>
        <v>599500</v>
      </c>
    </row>
    <row r="207" spans="1:17" ht="16" x14ac:dyDescent="0.2">
      <c r="A207" s="85" t="s">
        <v>123</v>
      </c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0">
        <f>P206*($I$8-1)</f>
        <v>95919.999999999956</v>
      </c>
    </row>
    <row r="208" spans="1:17" ht="30" customHeight="1" x14ac:dyDescent="0.2">
      <c r="A208" s="86" t="s">
        <v>124</v>
      </c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1">
        <f>P206*$I$8</f>
        <v>695420</v>
      </c>
    </row>
    <row r="210" spans="1:16" ht="15" customHeight="1" x14ac:dyDescent="0.2">
      <c r="A210" s="87" t="s">
        <v>125</v>
      </c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</row>
    <row r="211" spans="1:16" ht="16" x14ac:dyDescent="0.2">
      <c r="A211" s="60" t="s">
        <v>126</v>
      </c>
      <c r="B211" s="61">
        <f>SUMIF(L14:L194,"&lt;&gt;""",L14:L194)+P205</f>
        <v>277546.14801006421</v>
      </c>
      <c r="E211" s="60" t="s">
        <v>127</v>
      </c>
      <c r="F211" s="84">
        <f>IFERROR((P206-B211)/P206,0)</f>
        <v>0.53703728438688203</v>
      </c>
    </row>
  </sheetData>
  <mergeCells count="25">
    <mergeCell ref="A206:O206"/>
    <mergeCell ref="A207:O207"/>
    <mergeCell ref="A208:O208"/>
    <mergeCell ref="A210:P210"/>
    <mergeCell ref="A197:O197"/>
    <mergeCell ref="B198:O198"/>
    <mergeCell ref="B199:O199"/>
    <mergeCell ref="B200:O200"/>
    <mergeCell ref="B201:O201"/>
    <mergeCell ref="B202:O202"/>
    <mergeCell ref="B203:O203"/>
    <mergeCell ref="A205:O205"/>
    <mergeCell ref="B5:F5"/>
    <mergeCell ref="I5:M5"/>
    <mergeCell ref="B6:F6"/>
    <mergeCell ref="I6:M6"/>
    <mergeCell ref="A8:C8"/>
    <mergeCell ref="D8:F8"/>
    <mergeCell ref="G8:H8"/>
    <mergeCell ref="I8:J8"/>
    <mergeCell ref="A1:O1"/>
    <mergeCell ref="B3:F3"/>
    <mergeCell ref="I3:M3"/>
    <mergeCell ref="B4:F4"/>
    <mergeCell ref="I4:M4"/>
  </mergeCells>
  <dataValidations count="4">
    <dataValidation type="whole" allowBlank="1" showInputMessage="1" showErrorMessage="1" promptTitle="Cantidad" prompt="Ingresa la cantidad de piezas" sqref="G15:G195" xr:uid="{69430528-3B54-2240-9628-259308C101F4}">
      <formula1>1</formula1>
      <formula2>999</formula2>
    </dataValidation>
    <dataValidation type="list" errorStyle="warning" allowBlank="1" showInputMessage="1" showErrorMessage="1" errorTitle="Profundidad" error="Esta columna solo aplica para CAJÓN y ZAPATERA EXTRAÍBLE. Para otros componentes selecciona —." promptTitle="Prof. cajón / corredera" prompt="Solo para CAJÓN y ZAPATERA EXTRAÍBLE:_x000a_• Cajón: profundidad del cajón (35 a 60cm)_x000a_• Zapatera: prof. de corredera (55 o 60)_x000a__x000a_Otros componentes: selecciona — (guión)" sqref="E15:E195" xr:uid="{E3594654-9DAC-4F46-AE0C-A945450DCD7A}">
      <formula1>INDIRECT(IF(OR(B15="CAJÓN",B15="ZAPATERA EXTRAÍBLE"),"_LISTAS!C3:C9","_LISTAS!C10:C10"))</formula1>
    </dataValidation>
    <dataValidation type="whole" errorStyle="warning" allowBlank="1" showInputMessage="1" showErrorMessage="1" errorTitle="Medida fuera de rango" error="El valor debe ser entre 1 y 300 cm. Valores &gt; 244 cm tendrán factor especial." promptTitle="¿Qué mide esta columna?" prompt="Depende del componente:_x000a_• Parales/Puertas/Espejo: ALTO_x000a_• Pisos/Cielos/Entrepaños: LARGO_x000a_• Cajón: ALTO frontal (16 o 22cm)_x000a_• Zapatera: ALTO (6cm)_x000a_• Molduras: LARGO en cm_x000a_• Fondo madera: LARGO_x000a_• Tubo: LARGO_x000a__x000a_⚠️ &gt;244cm → ×1.30" sqref="D15:D195" xr:uid="{028C7C72-004B-6941-AE8D-AE76639CF613}">
      <formula1>1</formula1>
      <formula2>300</formula2>
    </dataValidation>
    <dataValidation type="custom" errorStyle="warning" allowBlank="1" showInputMessage="1" showErrorMessage="1" errorTitle="Ancho" error="Ingresa un numero (1-300) o ESPECIAL." promptTitle="Ancho (cm)" prompt="Ingresa ancho en cm (1-300)._x000a_Moldura delgada=5, gruesa=10._x000a_Tubo: escribe ESPECIAL._x000a_&gt;70cm aplica factor x1.30" sqref="C15:C195" xr:uid="{6F0E919F-B9C6-8A4E-9915-355CC6CBA80E}">
      <formula1>OR(AND(ISNUMBER(C15),C15&gt;=1,C15&lt;=300),C15="ESPECIAL")</formula1>
    </dataValidation>
  </dataValidations>
  <pageMargins left="0.75" right="0.75" top="1" bottom="1" header="0.511811023622047" footer="0.511811023622047"/>
  <pageSetup orientation="landscape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Componente" prompt="Selecciona el componente a cotizar._x000a_Las columnas C, D y E cambian de significado según el componente — al seleccionar cada celda verás una guía." xr:uid="{5FD73E8D-909B-B944-A606-2DE2892EC7B2}">
          <x14:formula1>
            <xm:f>_LISTAS!$A$3:$A$23</xm:f>
          </x14:formula1>
          <xm:sqref>B15:B195</xm:sqref>
        </x14:dataValidation>
        <x14:dataValidation type="list" allowBlank="1" showInputMessage="1" showErrorMessage="1" promptTitle="Material" prompt="Selecciona: NOGAL, ENCINO o HUANACAXTLE" xr:uid="{E033A98E-05AC-4948-A4A8-CE074F8529E4}">
          <x14:formula1>
            <xm:f>_LISTAS!$D$3:$D$5</xm:f>
          </x14:formula1>
          <xm:sqref>F15:F195</xm:sqref>
        </x14:dataValidation>
        <x14:dataValidation type="list" allowBlank="1" showInputMessage="1" showErrorMessage="1" errorTitle="FUO no válido" error="Por favor selecciona un nivel FUO de la lista (FUO1 a FUO10)" promptTitle="Selecciona el nivel FUO" prompt="Elige del FUO1 (Económico) al FUO10 (Ultra Premium)" xr:uid="{836D3F5D-8090-CE4B-9520-87DD5C8356D2}">
          <x14:formula1>
            <xm:f>_LISTAS!$F$3:$F$12</xm:f>
          </x14:formula1>
          <xm:sqref>I5</xm:sqref>
        </x14:dataValidation>
        <x14:dataValidation type="list" allowBlank="1" showInputMessage="1" showErrorMessage="1" errorTitle="Profundidad no válida" error="Selecciona una profundidad de la lista desplegable." promptTitle="Profundidad (cm)" prompt="Selecciona: 35, 40, 45, 50, 55, 60 o ESPECIAL" xr:uid="{CC43F131-CF8F-AA41-AE47-E420AFCD1DEF}">
          <x14:formula1>
            <xm:f>_LISTAS!$C$3:$C$9</xm:f>
          </x14:formula1>
          <xm:sqref>E196 E206:E211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44AD"/>
    <pageSetUpPr fitToPage="1"/>
  </sheetPr>
  <dimension ref="A1:H65"/>
  <sheetViews>
    <sheetView showGridLines="0" zoomScaleNormal="100" workbookViewId="0">
      <selection activeCell="C13" sqref="C13"/>
    </sheetView>
  </sheetViews>
  <sheetFormatPr baseColWidth="10" defaultColWidth="8.6640625" defaultRowHeight="15" x14ac:dyDescent="0.2"/>
  <cols>
    <col min="1" max="1" width="5" customWidth="1"/>
    <col min="2" max="2" width="16" customWidth="1"/>
    <col min="3" max="3" width="38" customWidth="1"/>
    <col min="4" max="4" width="9" customWidth="1"/>
    <col min="5" max="5" width="8" customWidth="1"/>
    <col min="6" max="6" width="14" customWidth="1"/>
    <col min="7" max="7" width="11" customWidth="1"/>
    <col min="8" max="8" width="14" customWidth="1"/>
  </cols>
  <sheetData>
    <row r="1" spans="1:8" ht="39.75" customHeight="1" x14ac:dyDescent="0.2">
      <c r="A1" s="45" t="s">
        <v>177</v>
      </c>
      <c r="B1" s="45"/>
      <c r="C1" s="45"/>
      <c r="D1" s="45"/>
      <c r="E1" s="45"/>
      <c r="F1" s="45"/>
      <c r="G1" s="45"/>
      <c r="H1" s="45"/>
    </row>
    <row r="2" spans="1:8" ht="19.5" customHeight="1" x14ac:dyDescent="0.2">
      <c r="A2" s="46" t="s">
        <v>150</v>
      </c>
      <c r="B2" s="46"/>
      <c r="C2" s="46"/>
      <c r="D2" s="46"/>
      <c r="E2" s="46"/>
      <c r="F2" s="46"/>
      <c r="G2" s="46"/>
      <c r="H2" s="46"/>
    </row>
    <row r="3" spans="1:8" ht="4.5" customHeight="1" x14ac:dyDescent="0.2">
      <c r="A3" s="40"/>
      <c r="B3" s="40"/>
      <c r="C3" s="40"/>
      <c r="D3" s="40"/>
      <c r="E3" s="40"/>
      <c r="F3" s="40"/>
      <c r="G3" s="40"/>
      <c r="H3" s="40"/>
    </row>
    <row r="5" spans="1:8" x14ac:dyDescent="0.2">
      <c r="A5" s="41" t="s">
        <v>105</v>
      </c>
      <c r="B5" s="47" t="str">
        <f>COTIZADOR!B4</f>
        <v>Monte Tauro 290</v>
      </c>
      <c r="C5" s="47"/>
      <c r="E5" s="41" t="s">
        <v>103</v>
      </c>
      <c r="F5" s="47" t="str">
        <f>COTIZADOR!B3</f>
        <v>Closets Monte Tauro 290 — Vestidor Niñas</v>
      </c>
      <c r="G5" s="47"/>
    </row>
    <row r="6" spans="1:8" x14ac:dyDescent="0.2">
      <c r="A6" s="41" t="s">
        <v>104</v>
      </c>
      <c r="B6" s="56">
        <f ca="1">COTIZADOR!I3</f>
        <v>46081</v>
      </c>
      <c r="C6" s="48"/>
      <c r="E6" s="41" t="s">
        <v>106</v>
      </c>
      <c r="F6" s="47" t="str">
        <f>COTIZADOR!I4</f>
        <v>COT-2025-001</v>
      </c>
      <c r="G6" s="47"/>
    </row>
    <row r="9" spans="1:8" ht="27.75" customHeight="1" x14ac:dyDescent="0.2">
      <c r="A9" s="13" t="s">
        <v>116</v>
      </c>
      <c r="B9" s="13" t="s">
        <v>117</v>
      </c>
      <c r="C9" s="13" t="s">
        <v>118</v>
      </c>
      <c r="D9" s="13" t="s">
        <v>119</v>
      </c>
      <c r="E9" s="13" t="s">
        <v>29</v>
      </c>
      <c r="F9" s="13" t="s">
        <v>151</v>
      </c>
      <c r="G9" s="13" t="s">
        <v>152</v>
      </c>
      <c r="H9" s="13" t="s">
        <v>153</v>
      </c>
    </row>
    <row r="10" spans="1:8" ht="18" customHeight="1" x14ac:dyDescent="0.2">
      <c r="A10" s="36">
        <v>1</v>
      </c>
      <c r="B10" s="20" t="str">
        <f>IF(COTIZADOR!B14="","",COTIZADOR!B14)</f>
        <v>VESTIDOR NIÑAS</v>
      </c>
      <c r="C10" s="20" t="str">
        <f>IF(COTIZADOR!B14="","",COTIZADOR!B14&amp;" "&amp;COTIZADOR!C14&amp;"x"&amp;COTIZADOR!D14&amp;" "&amp;COTIZADOR!F14)</f>
        <v xml:space="preserve">VESTIDOR NIÑAS x </v>
      </c>
      <c r="D10" s="42" t="str">
        <f>IF(COTIZADOR!G14="","",COTIZADOR!G14)</f>
        <v/>
      </c>
      <c r="E10" s="42" t="str">
        <f>IF(COTIZADOR!B14="","","PZA")</f>
        <v>PZA</v>
      </c>
      <c r="F10" s="37" t="str">
        <f>IF(COTIZADOR!N14="","",COTIZADOR!N14)</f>
        <v/>
      </c>
      <c r="G10" s="43" t="str">
        <f>IF(COTIZADOR!O14=0,"-",COTIZADOR!O14)</f>
        <v>-</v>
      </c>
      <c r="H10" s="37" t="str">
        <f>IF(COTIZADOR!P14="","",COTIZADOR!P14)</f>
        <v/>
      </c>
    </row>
    <row r="11" spans="1:8" ht="18" customHeight="1" x14ac:dyDescent="0.2">
      <c r="A11" s="38">
        <v>2</v>
      </c>
      <c r="B11" s="20" t="str">
        <f>IF(COTIZADOR!B15="","",COTIZADOR!B15)</f>
        <v>PISO CON ZOCLO</v>
      </c>
      <c r="C11" s="20" t="str">
        <f>IF(COTIZADOR!B15="","",COTIZADOR!B15&amp;" "&amp;COTIZADOR!C15&amp;"x"&amp;COTIZADOR!D15&amp;" "&amp;COTIZADOR!F15)</f>
        <v>PISO CON ZOCLO 55x100 NOGAL</v>
      </c>
      <c r="D11" s="42">
        <f>IF(COTIZADOR!G15="","",COTIZADOR!G15)</f>
        <v>1</v>
      </c>
      <c r="E11" s="42" t="str">
        <f>IF(COTIZADOR!B15="","","PZA")</f>
        <v>PZA</v>
      </c>
      <c r="F11" s="37">
        <f>IF(COTIZADOR!N15="","",COTIZADOR!N15)</f>
        <v>1100</v>
      </c>
      <c r="G11" s="43" t="str">
        <f>IF(COTIZADOR!O15=0,"-",COTIZADOR!O15)</f>
        <v>-</v>
      </c>
      <c r="H11" s="37">
        <f>IF(COTIZADOR!P15="","",COTIZADOR!P15)</f>
        <v>1100</v>
      </c>
    </row>
    <row r="12" spans="1:8" ht="18" customHeight="1" x14ac:dyDescent="0.2">
      <c r="A12" s="36">
        <v>3</v>
      </c>
      <c r="B12" s="20" t="str">
        <f>IF(COTIZADOR!B16="","",COTIZADOR!B16)</f>
        <v>PISO CON ZOCLO</v>
      </c>
      <c r="C12" s="20" t="str">
        <f>IF(COTIZADOR!B16="","",COTIZADOR!B16&amp;" "&amp;COTIZADOR!C16&amp;"x"&amp;COTIZADOR!D16&amp;" "&amp;COTIZADOR!F16)</f>
        <v>PISO CON ZOCLO 55x175 NOGAL</v>
      </c>
      <c r="D12" s="42">
        <f>IF(COTIZADOR!G16="","",COTIZADOR!G16)</f>
        <v>1</v>
      </c>
      <c r="E12" s="42" t="str">
        <f>IF(COTIZADOR!B16="","","PZA")</f>
        <v>PZA</v>
      </c>
      <c r="F12" s="37">
        <f>IF(COTIZADOR!N16="","",COTIZADOR!N16)</f>
        <v>1450</v>
      </c>
      <c r="G12" s="43" t="str">
        <f>IF(COTIZADOR!O16=0,"-",COTIZADOR!O16)</f>
        <v>-</v>
      </c>
      <c r="H12" s="37">
        <f>IF(COTIZADOR!P16="","",COTIZADOR!P16)</f>
        <v>1450</v>
      </c>
    </row>
    <row r="13" spans="1:8" ht="18" customHeight="1" x14ac:dyDescent="0.2">
      <c r="A13" s="38">
        <v>4</v>
      </c>
      <c r="B13" s="20" t="str">
        <f>IF(COTIZADOR!B17="","",COTIZADOR!B17)</f>
        <v>CIELO</v>
      </c>
      <c r="C13" s="20" t="str">
        <f>IF(COTIZADOR!B17="","",COTIZADOR!B17&amp;" "&amp;COTIZADOR!C17&amp;"x"&amp;COTIZADOR!D17&amp;" "&amp;COTIZADOR!F17)</f>
        <v>CIELO 55x100 NOGAL</v>
      </c>
      <c r="D13" s="42">
        <f>IF(COTIZADOR!G17="","",COTIZADOR!G17)</f>
        <v>1</v>
      </c>
      <c r="E13" s="42" t="str">
        <f>IF(COTIZADOR!B17="","","PZA")</f>
        <v>PZA</v>
      </c>
      <c r="F13" s="37">
        <f>IF(COTIZADOR!N17="","",COTIZADOR!N17)</f>
        <v>1250</v>
      </c>
      <c r="G13" s="43" t="str">
        <f>IF(COTIZADOR!O17=0,"-",COTIZADOR!O17)</f>
        <v>-</v>
      </c>
      <c r="H13" s="37">
        <f>IF(COTIZADOR!P17="","",COTIZADOR!P17)</f>
        <v>1250</v>
      </c>
    </row>
    <row r="14" spans="1:8" ht="18" customHeight="1" x14ac:dyDescent="0.2">
      <c r="A14" s="36">
        <v>5</v>
      </c>
      <c r="B14" s="20" t="str">
        <f>IF(COTIZADOR!B18="","",COTIZADOR!B18)</f>
        <v>CIELO</v>
      </c>
      <c r="C14" s="20" t="str">
        <f>IF(COTIZADOR!B18="","",COTIZADOR!B18&amp;" "&amp;COTIZADOR!C18&amp;"x"&amp;COTIZADOR!D18&amp;" "&amp;COTIZADOR!F18)</f>
        <v>CIELO 55x175 NOGAL</v>
      </c>
      <c r="D14" s="42">
        <f>IF(COTIZADOR!G18="","",COTIZADOR!G18)</f>
        <v>1</v>
      </c>
      <c r="E14" s="42" t="str">
        <f>IF(COTIZADOR!B18="","","PZA")</f>
        <v>PZA</v>
      </c>
      <c r="F14" s="37">
        <f>IF(COTIZADOR!N18="","",COTIZADOR!N18)</f>
        <v>1700</v>
      </c>
      <c r="G14" s="43" t="str">
        <f>IF(COTIZADOR!O18=0,"-",COTIZADOR!O18)</f>
        <v>-</v>
      </c>
      <c r="H14" s="37">
        <f>IF(COTIZADOR!P18="","",COTIZADOR!P18)</f>
        <v>1700</v>
      </c>
    </row>
    <row r="15" spans="1:8" ht="18" customHeight="1" x14ac:dyDescent="0.2">
      <c r="A15" s="38">
        <v>6</v>
      </c>
      <c r="B15" s="20" t="str">
        <f>IF(COTIZADOR!B19="","",COTIZADOR!B19)</f>
        <v>PARAL 1 VISTA</v>
      </c>
      <c r="C15" s="20" t="str">
        <f>IF(COTIZADOR!B19="","",COTIZADOR!B19&amp;" "&amp;COTIZADOR!C19&amp;"x"&amp;COTIZADOR!D19&amp;" "&amp;COTIZADOR!F19)</f>
        <v>PARAL 1 VISTA 55x295 NOGAL</v>
      </c>
      <c r="D15" s="42">
        <f>IF(COTIZADOR!G19="","",COTIZADOR!G19)</f>
        <v>2</v>
      </c>
      <c r="E15" s="42" t="str">
        <f>IF(COTIZADOR!B19="","","PZA")</f>
        <v>PZA</v>
      </c>
      <c r="F15" s="37">
        <f>IF(COTIZADOR!N19="","",COTIZADOR!N19)</f>
        <v>2600</v>
      </c>
      <c r="G15" s="43" t="str">
        <f>IF(COTIZADOR!O19=0,"-",COTIZADOR!O19)</f>
        <v>-</v>
      </c>
      <c r="H15" s="37">
        <f>IF(COTIZADOR!P19="","",COTIZADOR!P19)</f>
        <v>5200</v>
      </c>
    </row>
    <row r="16" spans="1:8" ht="18" customHeight="1" x14ac:dyDescent="0.2">
      <c r="A16" s="36">
        <v>7</v>
      </c>
      <c r="B16" s="20" t="str">
        <f>IF(COTIZADOR!B20="","",COTIZADOR!B20)</f>
        <v>PARAL DELGADO 2V</v>
      </c>
      <c r="C16" s="20" t="str">
        <f>IF(COTIZADOR!B20="","",COTIZADOR!B20&amp;" "&amp;COTIZADOR!C20&amp;"x"&amp;COTIZADOR!D20&amp;" "&amp;COTIZADOR!F20)</f>
        <v>PARAL DELGADO 2V 55x295 NOGAL</v>
      </c>
      <c r="D16" s="42">
        <f>IF(COTIZADOR!G20="","",COTIZADOR!G20)</f>
        <v>2</v>
      </c>
      <c r="E16" s="42" t="str">
        <f>IF(COTIZADOR!B20="","","PZA")</f>
        <v>PZA</v>
      </c>
      <c r="F16" s="37">
        <f>IF(COTIZADOR!N20="","",COTIZADOR!N20)</f>
        <v>2900</v>
      </c>
      <c r="G16" s="43" t="str">
        <f>IF(COTIZADOR!O20=0,"-",COTIZADOR!O20)</f>
        <v>-</v>
      </c>
      <c r="H16" s="37">
        <f>IF(COTIZADOR!P20="","",COTIZADOR!P20)</f>
        <v>5800</v>
      </c>
    </row>
    <row r="17" spans="1:8" ht="18" customHeight="1" x14ac:dyDescent="0.2">
      <c r="A17" s="38">
        <v>8</v>
      </c>
      <c r="B17" s="20" t="str">
        <f>IF(COTIZADOR!B21="","",COTIZADOR!B21)</f>
        <v>ZAPATERA EXTRAÍBLE</v>
      </c>
      <c r="C17" s="20" t="str">
        <f>IF(COTIZADOR!B21="","",COTIZADOR!B21&amp;" "&amp;COTIZADOR!C21&amp;"x"&amp;COTIZADOR!D21&amp;" "&amp;COTIZADOR!F21)</f>
        <v>ZAPATERA EXTRAÍBLE 100x55 NOGAL</v>
      </c>
      <c r="D17" s="42">
        <f>IF(COTIZADOR!G21="","",COTIZADOR!G21)</f>
        <v>4</v>
      </c>
      <c r="E17" s="42" t="str">
        <f>IF(COTIZADOR!B21="","","PZA")</f>
        <v>PZA</v>
      </c>
      <c r="F17" s="37">
        <f>IF(COTIZADOR!N21="","",COTIZADOR!N21)</f>
        <v>1500</v>
      </c>
      <c r="G17" s="43" t="str">
        <f>IF(COTIZADOR!O21=0,"-",COTIZADOR!O21)</f>
        <v>-</v>
      </c>
      <c r="H17" s="37">
        <f>IF(COTIZADOR!P21="","",COTIZADOR!P21)</f>
        <v>6000</v>
      </c>
    </row>
    <row r="18" spans="1:8" ht="18" customHeight="1" x14ac:dyDescent="0.2">
      <c r="A18" s="36">
        <v>9</v>
      </c>
      <c r="B18" s="20" t="str">
        <f>IF(COTIZADOR!B22="","",COTIZADOR!B22)</f>
        <v>ENTREPAÑO DELGADO</v>
      </c>
      <c r="C18" s="20" t="str">
        <f>IF(COTIZADOR!B22="","",COTIZADOR!B22&amp;" "&amp;COTIZADOR!C22&amp;"x"&amp;COTIZADOR!D22&amp;" "&amp;COTIZADOR!F22)</f>
        <v>ENTREPAÑO DELGADO 55x100 NOGAL</v>
      </c>
      <c r="D18" s="42">
        <f>IF(COTIZADOR!G22="","",COTIZADOR!G22)</f>
        <v>2</v>
      </c>
      <c r="E18" s="42" t="str">
        <f>IF(COTIZADOR!B22="","","PZA")</f>
        <v>PZA</v>
      </c>
      <c r="F18" s="37">
        <f>IF(COTIZADOR!N22="","",COTIZADOR!N22)</f>
        <v>1050</v>
      </c>
      <c r="G18" s="43" t="str">
        <f>IF(COTIZADOR!O22=0,"-",COTIZADOR!O22)</f>
        <v>-</v>
      </c>
      <c r="H18" s="37">
        <f>IF(COTIZADOR!P22="","",COTIZADOR!P22)</f>
        <v>2100</v>
      </c>
    </row>
    <row r="19" spans="1:8" ht="18" customHeight="1" x14ac:dyDescent="0.2">
      <c r="A19" s="38">
        <v>10</v>
      </c>
      <c r="B19" s="20" t="str">
        <f>IF(COTIZADOR!B23="","",COTIZADOR!B23)</f>
        <v>ENTREPAÑO DELGADO</v>
      </c>
      <c r="C19" s="20" t="str">
        <f>IF(COTIZADOR!B23="","",COTIZADOR!B23&amp;" "&amp;COTIZADOR!C23&amp;"x"&amp;COTIZADOR!D23&amp;" "&amp;COTIZADOR!F23)</f>
        <v>ENTREPAÑO DELGADO 55x71 NOGAL</v>
      </c>
      <c r="D19" s="42">
        <f>IF(COTIZADOR!G23="","",COTIZADOR!G23)</f>
        <v>6</v>
      </c>
      <c r="E19" s="42" t="str">
        <f>IF(COTIZADOR!B23="","","PZA")</f>
        <v>PZA</v>
      </c>
      <c r="F19" s="37">
        <f>IF(COTIZADOR!N23="","",COTIZADOR!N23)</f>
        <v>750</v>
      </c>
      <c r="G19" s="43" t="str">
        <f>IF(COTIZADOR!O23=0,"-",COTIZADOR!O23)</f>
        <v>-</v>
      </c>
      <c r="H19" s="37">
        <f>IF(COTIZADOR!P23="","",COTIZADOR!P23)</f>
        <v>4500</v>
      </c>
    </row>
    <row r="20" spans="1:8" ht="18" customHeight="1" x14ac:dyDescent="0.2">
      <c r="A20" s="36">
        <v>11</v>
      </c>
      <c r="B20" s="20" t="str">
        <f>IF(COTIZADOR!B24="","",COTIZADOR!B24)</f>
        <v>CAJÓN</v>
      </c>
      <c r="C20" s="20" t="str">
        <f>IF(COTIZADOR!B24="","",COTIZADOR!B24&amp;" "&amp;COTIZADOR!C24&amp;"x"&amp;COTIZADOR!D24&amp;" "&amp;COTIZADOR!F24)</f>
        <v>CAJÓN 71x22 NOGAL</v>
      </c>
      <c r="D20" s="42">
        <f>IF(COTIZADOR!G24="","",COTIZADOR!G24)</f>
        <v>4</v>
      </c>
      <c r="E20" s="42" t="str">
        <f>IF(COTIZADOR!B24="","","PZA")</f>
        <v>PZA</v>
      </c>
      <c r="F20" s="37">
        <f>IF(COTIZADOR!N24="","",COTIZADOR!N24)</f>
        <v>1250</v>
      </c>
      <c r="G20" s="43" t="str">
        <f>IF(COTIZADOR!O24=0,"-",COTIZADOR!O24)</f>
        <v>-</v>
      </c>
      <c r="H20" s="37">
        <f>IF(COTIZADOR!P24="","",COTIZADOR!P24)</f>
        <v>5000</v>
      </c>
    </row>
    <row r="21" spans="1:8" ht="18" customHeight="1" x14ac:dyDescent="0.2">
      <c r="A21" s="38">
        <v>12</v>
      </c>
      <c r="B21" s="20" t="str">
        <f>IF(COTIZADOR!B25="","",COTIZADOR!B25)</f>
        <v>TUBO COLGAR</v>
      </c>
      <c r="C21" s="20" t="str">
        <f>IF(COTIZADOR!B25="","",COTIZADOR!B25&amp;" "&amp;COTIZADOR!C25&amp;"x"&amp;COTIZADOR!D25&amp;" "&amp;COTIZADOR!F25)</f>
        <v>TUBO COLGAR ESPECIALx100 NOGAL</v>
      </c>
      <c r="D21" s="42">
        <f>IF(COTIZADOR!G25="","",COTIZADOR!G25)</f>
        <v>4</v>
      </c>
      <c r="E21" s="42" t="str">
        <f>IF(COTIZADOR!B25="","","PZA")</f>
        <v>PZA</v>
      </c>
      <c r="F21" s="37">
        <f>IF(COTIZADOR!N25="","",COTIZADOR!N25)</f>
        <v>50</v>
      </c>
      <c r="G21" s="43" t="str">
        <f>IF(COTIZADOR!O25=0,"-",COTIZADOR!O25)</f>
        <v>-</v>
      </c>
      <c r="H21" s="37">
        <f>IF(COTIZADOR!P25="","",COTIZADOR!P25)</f>
        <v>200</v>
      </c>
    </row>
    <row r="22" spans="1:8" ht="18" customHeight="1" x14ac:dyDescent="0.2">
      <c r="A22" s="36">
        <v>13</v>
      </c>
      <c r="B22" s="20" t="str">
        <f>IF(COTIZADOR!B26="","",COTIZADOR!B26)</f>
        <v>FONDO MADERA</v>
      </c>
      <c r="C22" s="20" t="str">
        <f>IF(COTIZADOR!B26="","",COTIZADOR!B26&amp;" "&amp;COTIZADOR!C26&amp;"x"&amp;COTIZADOR!D26&amp;" "&amp;COTIZADOR!F26)</f>
        <v>FONDO MADERA 275x305 NOGAL</v>
      </c>
      <c r="D22" s="42">
        <f>IF(COTIZADOR!G26="","",COTIZADOR!G26)</f>
        <v>1</v>
      </c>
      <c r="E22" s="42" t="str">
        <f>IF(COTIZADOR!B26="","","PZA")</f>
        <v>PZA</v>
      </c>
      <c r="F22" s="37">
        <f>IF(COTIZADOR!N26="","",COTIZADOR!N26)</f>
        <v>4550</v>
      </c>
      <c r="G22" s="43" t="str">
        <f>IF(COTIZADOR!O26=0,"-",COTIZADOR!O26)</f>
        <v>-</v>
      </c>
      <c r="H22" s="37">
        <f>IF(COTIZADOR!P26="","",COTIZADOR!P26)</f>
        <v>4550</v>
      </c>
    </row>
    <row r="23" spans="1:8" ht="18" customHeight="1" x14ac:dyDescent="0.2">
      <c r="A23" s="38">
        <v>14</v>
      </c>
      <c r="B23" s="20" t="str">
        <f>IF(COTIZADOR!B27="","",COTIZADOR!B27)</f>
        <v>MOLDURA DIFÍCIL</v>
      </c>
      <c r="C23" s="20" t="str">
        <f>IF(COTIZADOR!B27="","",COTIZADOR!B27&amp;" "&amp;COTIZADOR!C27&amp;"x"&amp;COTIZADOR!D27&amp;" "&amp;COTIZADOR!F27)</f>
        <v>MOLDURA DIFÍCIL 5x550 NOGAL</v>
      </c>
      <c r="D23" s="42">
        <f>IF(COTIZADOR!G27="","",COTIZADOR!G27)</f>
        <v>1</v>
      </c>
      <c r="E23" s="42" t="str">
        <f>IF(COTIZADOR!B27="","","PZA")</f>
        <v>PZA</v>
      </c>
      <c r="F23" s="37">
        <f>IF(COTIZADOR!N27="","",COTIZADOR!N27)</f>
        <v>2900</v>
      </c>
      <c r="G23" s="43" t="str">
        <f>IF(COTIZADOR!O27=0,"-",COTIZADOR!O27)</f>
        <v>-</v>
      </c>
      <c r="H23" s="37">
        <f>IF(COTIZADOR!P27="","",COTIZADOR!P27)</f>
        <v>2900</v>
      </c>
    </row>
    <row r="24" spans="1:8" ht="18" customHeight="1" x14ac:dyDescent="0.2">
      <c r="A24" s="36">
        <v>15</v>
      </c>
      <c r="B24" s="20" t="str">
        <f>IF(COTIZADOR!B28="","",COTIZADOR!B28)</f>
        <v>PISO CON ZOCLO</v>
      </c>
      <c r="C24" s="20" t="str">
        <f>IF(COTIZADOR!B28="","",COTIZADOR!B28&amp;" "&amp;COTIZADOR!C28&amp;"x"&amp;COTIZADOR!D28&amp;" "&amp;COTIZADOR!F28)</f>
        <v>PISO CON ZOCLO 55x195 NOGAL</v>
      </c>
      <c r="D24" s="42">
        <f>IF(COTIZADOR!G28="","",COTIZADOR!G28)</f>
        <v>1</v>
      </c>
      <c r="E24" s="42" t="str">
        <f>IF(COTIZADOR!B28="","","PZA")</f>
        <v>PZA</v>
      </c>
      <c r="F24" s="37">
        <f>IF(COTIZADOR!N28="","",COTIZADOR!N28)</f>
        <v>1700</v>
      </c>
      <c r="G24" s="43" t="str">
        <f>IF(COTIZADOR!O28=0,"-",COTIZADOR!O28)</f>
        <v>-</v>
      </c>
      <c r="H24" s="37">
        <f>IF(COTIZADOR!P28="","",COTIZADOR!P28)</f>
        <v>1700</v>
      </c>
    </row>
    <row r="25" spans="1:8" ht="18" customHeight="1" x14ac:dyDescent="0.2">
      <c r="A25" s="38">
        <v>16</v>
      </c>
      <c r="B25" s="20" t="str">
        <f>IF(COTIZADOR!B29="","",COTIZADOR!B29)</f>
        <v>CIELO</v>
      </c>
      <c r="C25" s="20" t="str">
        <f>IF(COTIZADOR!B29="","",COTIZADOR!B29&amp;" "&amp;COTIZADOR!C29&amp;"x"&amp;COTIZADOR!D29&amp;" "&amp;COTIZADOR!F29)</f>
        <v>CIELO 55x195 NOGAL</v>
      </c>
      <c r="D25" s="42">
        <f>IF(COTIZADOR!G29="","",COTIZADOR!G29)</f>
        <v>1</v>
      </c>
      <c r="E25" s="42" t="str">
        <f>IF(COTIZADOR!B29="","","PZA")</f>
        <v>PZA</v>
      </c>
      <c r="F25" s="37">
        <f>IF(COTIZADOR!N29="","",COTIZADOR!N29)</f>
        <v>2050</v>
      </c>
      <c r="G25" s="43" t="str">
        <f>IF(COTIZADOR!O29=0,"-",COTIZADOR!O29)</f>
        <v>-</v>
      </c>
      <c r="H25" s="37">
        <f>IF(COTIZADOR!P29="","",COTIZADOR!P29)</f>
        <v>2050</v>
      </c>
    </row>
    <row r="26" spans="1:8" ht="18" customHeight="1" x14ac:dyDescent="0.2">
      <c r="A26" s="36">
        <v>17</v>
      </c>
      <c r="B26" s="20" t="str">
        <f>IF(COTIZADOR!B30="","",COTIZADOR!B30)</f>
        <v>PARAL 1 VISTA</v>
      </c>
      <c r="C26" s="20" t="str">
        <f>IF(COTIZADOR!B30="","",COTIZADOR!B30&amp;" "&amp;COTIZADOR!C30&amp;"x"&amp;COTIZADOR!D30&amp;" "&amp;COTIZADOR!F30)</f>
        <v>PARAL 1 VISTA 55x295 NOGAL</v>
      </c>
      <c r="D26" s="42">
        <f>IF(COTIZADOR!G30="","",COTIZADOR!G30)</f>
        <v>1</v>
      </c>
      <c r="E26" s="42" t="str">
        <f>IF(COTIZADOR!B30="","","PZA")</f>
        <v>PZA</v>
      </c>
      <c r="F26" s="37">
        <f>IF(COTIZADOR!N30="","",COTIZADOR!N30)</f>
        <v>2600</v>
      </c>
      <c r="G26" s="43" t="str">
        <f>IF(COTIZADOR!O30=0,"-",COTIZADOR!O30)</f>
        <v>-</v>
      </c>
      <c r="H26" s="37">
        <f>IF(COTIZADOR!P30="","",COTIZADOR!P30)</f>
        <v>2600</v>
      </c>
    </row>
    <row r="27" spans="1:8" ht="18" customHeight="1" x14ac:dyDescent="0.2">
      <c r="A27" s="38">
        <v>18</v>
      </c>
      <c r="B27" s="20" t="str">
        <f>IF(COTIZADOR!B31="","",COTIZADOR!B31)</f>
        <v>PARAL 2 VISTAS</v>
      </c>
      <c r="C27" s="20" t="str">
        <f>IF(COTIZADOR!B31="","",COTIZADOR!B31&amp;" "&amp;COTIZADOR!C31&amp;"x"&amp;COTIZADOR!D31&amp;" "&amp;COTIZADOR!F31)</f>
        <v>PARAL 2 VISTAS 55x295 NOGAL</v>
      </c>
      <c r="D27" s="42">
        <f>IF(COTIZADOR!G31="","",COTIZADOR!G31)</f>
        <v>1</v>
      </c>
      <c r="E27" s="42" t="str">
        <f>IF(COTIZADOR!B31="","","PZA")</f>
        <v>PZA</v>
      </c>
      <c r="F27" s="37">
        <f>IF(COTIZADOR!N31="","",COTIZADOR!N31)</f>
        <v>3950</v>
      </c>
      <c r="G27" s="43" t="str">
        <f>IF(COTIZADOR!O31=0,"-",COTIZADOR!O31)</f>
        <v>-</v>
      </c>
      <c r="H27" s="37">
        <f>IF(COTIZADOR!P31="","",COTIZADOR!P31)</f>
        <v>3950</v>
      </c>
    </row>
    <row r="28" spans="1:8" ht="18" customHeight="1" x14ac:dyDescent="0.2">
      <c r="A28" s="36">
        <v>19</v>
      </c>
      <c r="B28" s="20" t="str">
        <f>IF(COTIZADOR!B32="","",COTIZADOR!B32)</f>
        <v>PARAL DELGADO 2V</v>
      </c>
      <c r="C28" s="20" t="str">
        <f>IF(COTIZADOR!B32="","",COTIZADOR!B32&amp;" "&amp;COTIZADOR!C32&amp;"x"&amp;COTIZADOR!D32&amp;" "&amp;COTIZADOR!F32)</f>
        <v>PARAL DELGADO 2V 55x295 NOGAL</v>
      </c>
      <c r="D28" s="42">
        <f>IF(COTIZADOR!G32="","",COTIZADOR!G32)</f>
        <v>1</v>
      </c>
      <c r="E28" s="42" t="str">
        <f>IF(COTIZADOR!B32="","","PZA")</f>
        <v>PZA</v>
      </c>
      <c r="F28" s="37">
        <f>IF(COTIZADOR!N32="","",COTIZADOR!N32)</f>
        <v>2900</v>
      </c>
      <c r="G28" s="43" t="str">
        <f>IF(COTIZADOR!O32=0,"-",COTIZADOR!O32)</f>
        <v>-</v>
      </c>
      <c r="H28" s="37">
        <f>IF(COTIZADOR!P32="","",COTIZADOR!P32)</f>
        <v>2900</v>
      </c>
    </row>
    <row r="29" spans="1:8" ht="18" customHeight="1" x14ac:dyDescent="0.2">
      <c r="A29" s="38">
        <v>20</v>
      </c>
      <c r="B29" s="20" t="str">
        <f>IF(COTIZADOR!B33="","",COTIZADOR!B33)</f>
        <v>ZAPATERA EXTRAÍBLE</v>
      </c>
      <c r="C29" s="20" t="str">
        <f>IF(COTIZADOR!B33="","",COTIZADOR!B33&amp;" "&amp;COTIZADOR!C33&amp;"x"&amp;COTIZADOR!D33&amp;" "&amp;COTIZADOR!F33)</f>
        <v>ZAPATERA EXTRAÍBLE 94x55 NOGAL</v>
      </c>
      <c r="D29" s="42">
        <f>IF(COTIZADOR!G33="","",COTIZADOR!G33)</f>
        <v>4</v>
      </c>
      <c r="E29" s="42" t="str">
        <f>IF(COTIZADOR!B33="","","PZA")</f>
        <v>PZA</v>
      </c>
      <c r="F29" s="37">
        <f>IF(COTIZADOR!N33="","",COTIZADOR!N33)</f>
        <v>1450</v>
      </c>
      <c r="G29" s="43" t="str">
        <f>IF(COTIZADOR!O33=0,"-",COTIZADOR!O33)</f>
        <v>-</v>
      </c>
      <c r="H29" s="37">
        <f>IF(COTIZADOR!P33="","",COTIZADOR!P33)</f>
        <v>5800</v>
      </c>
    </row>
    <row r="30" spans="1:8" ht="18" customHeight="1" x14ac:dyDescent="0.2">
      <c r="A30" s="36">
        <v>21</v>
      </c>
      <c r="B30" s="20" t="str">
        <f>IF(COTIZADOR!B34="","",COTIZADOR!B34)</f>
        <v>ENTREPAÑO DELGADO</v>
      </c>
      <c r="C30" s="20" t="str">
        <f>IF(COTIZADOR!B34="","",COTIZADOR!B34&amp;" "&amp;COTIZADOR!C34&amp;"x"&amp;COTIZADOR!D34&amp;" "&amp;COTIZADOR!F34)</f>
        <v>ENTREPAÑO DELGADO 55x94 NOGAL</v>
      </c>
      <c r="D30" s="42">
        <f>IF(COTIZADOR!G34="","",COTIZADOR!G34)</f>
        <v>2</v>
      </c>
      <c r="E30" s="42" t="str">
        <f>IF(COTIZADOR!B34="","","PZA")</f>
        <v>PZA</v>
      </c>
      <c r="F30" s="37">
        <f>IF(COTIZADOR!N34="","",COTIZADOR!N34)</f>
        <v>1050</v>
      </c>
      <c r="G30" s="43" t="str">
        <f>IF(COTIZADOR!O34=0,"-",COTIZADOR!O34)</f>
        <v>-</v>
      </c>
      <c r="H30" s="37">
        <f>IF(COTIZADOR!P34="","",COTIZADOR!P34)</f>
        <v>2100</v>
      </c>
    </row>
    <row r="31" spans="1:8" ht="18" customHeight="1" x14ac:dyDescent="0.2">
      <c r="A31" s="38">
        <v>22</v>
      </c>
      <c r="B31" s="20" t="str">
        <f>IF(COTIZADOR!B35="","",COTIZADOR!B35)</f>
        <v>TUBO COLGAR</v>
      </c>
      <c r="C31" s="20" t="str">
        <f>IF(COTIZADOR!B35="","",COTIZADOR!B35&amp;" "&amp;COTIZADOR!C35&amp;"x"&amp;COTIZADOR!D35&amp;" "&amp;COTIZADOR!F35)</f>
        <v>TUBO COLGAR ESPECIALx94 NOGAL</v>
      </c>
      <c r="D31" s="42">
        <f>IF(COTIZADOR!G35="","",COTIZADOR!G35)</f>
        <v>4</v>
      </c>
      <c r="E31" s="42" t="str">
        <f>IF(COTIZADOR!B35="","","PZA")</f>
        <v>PZA</v>
      </c>
      <c r="F31" s="37">
        <f>IF(COTIZADOR!N35="","",COTIZADOR!N35)</f>
        <v>50</v>
      </c>
      <c r="G31" s="43" t="str">
        <f>IF(COTIZADOR!O35=0,"-",COTIZADOR!O35)</f>
        <v>-</v>
      </c>
      <c r="H31" s="37">
        <f>IF(COTIZADOR!P35="","",COTIZADOR!P35)</f>
        <v>200</v>
      </c>
    </row>
    <row r="32" spans="1:8" ht="18" customHeight="1" x14ac:dyDescent="0.2">
      <c r="A32" s="36">
        <v>23</v>
      </c>
      <c r="B32" s="20" t="str">
        <f>IF(COTIZADOR!B36="","",COTIZADOR!B36)</f>
        <v>FONDO MADERA</v>
      </c>
      <c r="C32" s="20" t="str">
        <f>IF(COTIZADOR!B36="","",COTIZADOR!B36&amp;" "&amp;COTIZADOR!C36&amp;"x"&amp;COTIZADOR!D36&amp;" "&amp;COTIZADOR!F36)</f>
        <v>FONDO MADERA 195x295 NOGAL</v>
      </c>
      <c r="D32" s="42">
        <f>IF(COTIZADOR!G36="","",COTIZADOR!G36)</f>
        <v>1</v>
      </c>
      <c r="E32" s="42" t="str">
        <f>IF(COTIZADOR!B36="","","PZA")</f>
        <v>PZA</v>
      </c>
      <c r="F32" s="37">
        <f>IF(COTIZADOR!N36="","",COTIZADOR!N36)</f>
        <v>3250</v>
      </c>
      <c r="G32" s="43" t="str">
        <f>IF(COTIZADOR!O36=0,"-",COTIZADOR!O36)</f>
        <v>-</v>
      </c>
      <c r="H32" s="37">
        <f>IF(COTIZADOR!P36="","",COTIZADOR!P36)</f>
        <v>3250</v>
      </c>
    </row>
    <row r="33" spans="1:8" ht="18" customHeight="1" x14ac:dyDescent="0.2">
      <c r="A33" s="38">
        <v>24</v>
      </c>
      <c r="B33" s="20" t="str">
        <f>IF(COTIZADOR!B37="","",COTIZADOR!B37)</f>
        <v>MOLDURA DIFÍCIL</v>
      </c>
      <c r="C33" s="20" t="str">
        <f>IF(COTIZADOR!B37="","",COTIZADOR!B37&amp;" "&amp;COTIZADOR!C37&amp;"x"&amp;COTIZADOR!D37&amp;" "&amp;COTIZADOR!F37)</f>
        <v>MOLDURA DIFÍCIL 5x400 NOGAL</v>
      </c>
      <c r="D33" s="42">
        <f>IF(COTIZADOR!G37="","",COTIZADOR!G37)</f>
        <v>1</v>
      </c>
      <c r="E33" s="42" t="str">
        <f>IF(COTIZADOR!B37="","","PZA")</f>
        <v>PZA</v>
      </c>
      <c r="F33" s="37">
        <f>IF(COTIZADOR!N37="","",COTIZADOR!N37)</f>
        <v>2300</v>
      </c>
      <c r="G33" s="43" t="str">
        <f>IF(COTIZADOR!O37=0,"-",COTIZADOR!O37)</f>
        <v>-</v>
      </c>
      <c r="H33" s="37">
        <f>IF(COTIZADOR!P37="","",COTIZADOR!P37)</f>
        <v>2300</v>
      </c>
    </row>
    <row r="34" spans="1:8" ht="18" customHeight="1" x14ac:dyDescent="0.2">
      <c r="A34" s="36">
        <v>25</v>
      </c>
      <c r="B34" s="20" t="str">
        <f>IF(COTIZADOR!B38="","",COTIZADOR!B38)</f>
        <v>PISO CON ZOCLO</v>
      </c>
      <c r="C34" s="20" t="str">
        <f>IF(COTIZADOR!B38="","",COTIZADOR!B38&amp;" "&amp;COTIZADOR!C38&amp;"x"&amp;COTIZADOR!D38&amp;" "&amp;COTIZADOR!F38)</f>
        <v>PISO CON ZOCLO 35x100 NOGAL</v>
      </c>
      <c r="D34" s="42">
        <f>IF(COTIZADOR!G38="","",COTIZADOR!G38)</f>
        <v>1</v>
      </c>
      <c r="E34" s="42" t="str">
        <f>IF(COTIZADOR!B38="","","PZA")</f>
        <v>PZA</v>
      </c>
      <c r="F34" s="37">
        <f>IF(COTIZADOR!N38="","",COTIZADOR!N38)</f>
        <v>850</v>
      </c>
      <c r="G34" s="43" t="str">
        <f>IF(COTIZADOR!O38=0,"-",COTIZADOR!O38)</f>
        <v>-</v>
      </c>
      <c r="H34" s="37">
        <f>IF(COTIZADOR!P38="","",COTIZADOR!P38)</f>
        <v>850</v>
      </c>
    </row>
    <row r="35" spans="1:8" ht="18" customHeight="1" x14ac:dyDescent="0.2">
      <c r="A35" s="38">
        <v>26</v>
      </c>
      <c r="B35" s="20" t="str">
        <f>IF(COTIZADOR!B39="","",COTIZADOR!B39)</f>
        <v>CIELO</v>
      </c>
      <c r="C35" s="20" t="str">
        <f>IF(COTIZADOR!B39="","",COTIZADOR!B39&amp;" "&amp;COTIZADOR!C39&amp;"x"&amp;COTIZADOR!D39&amp;" "&amp;COTIZADOR!F39)</f>
        <v>CIELO 35x100 NOGAL</v>
      </c>
      <c r="D35" s="42">
        <f>IF(COTIZADOR!G39="","",COTIZADOR!G39)</f>
        <v>1</v>
      </c>
      <c r="E35" s="42" t="str">
        <f>IF(COTIZADOR!B39="","","PZA")</f>
        <v>PZA</v>
      </c>
      <c r="F35" s="37">
        <f>IF(COTIZADOR!N39="","",COTIZADOR!N39)</f>
        <v>900</v>
      </c>
      <c r="G35" s="43" t="str">
        <f>IF(COTIZADOR!O39=0,"-",COTIZADOR!O39)</f>
        <v>-</v>
      </c>
      <c r="H35" s="37">
        <f>IF(COTIZADOR!P39="","",COTIZADOR!P39)</f>
        <v>900</v>
      </c>
    </row>
    <row r="36" spans="1:8" ht="18" customHeight="1" x14ac:dyDescent="0.2">
      <c r="A36" s="36">
        <v>27</v>
      </c>
      <c r="B36" s="20" t="str">
        <f>IF(COTIZADOR!B40="","",COTIZADOR!B40)</f>
        <v>PARAL 2 VISTAS</v>
      </c>
      <c r="C36" s="20" t="str">
        <f>IF(COTIZADOR!B40="","",COTIZADOR!B40&amp;" "&amp;COTIZADOR!C40&amp;"x"&amp;COTIZADOR!D40&amp;" "&amp;COTIZADOR!F40)</f>
        <v>PARAL 2 VISTAS 35x295 NOGAL</v>
      </c>
      <c r="D36" s="42">
        <f>IF(COTIZADOR!G40="","",COTIZADOR!G40)</f>
        <v>2</v>
      </c>
      <c r="E36" s="42" t="str">
        <f>IF(COTIZADOR!B40="","","PZA")</f>
        <v>PZA</v>
      </c>
      <c r="F36" s="37">
        <f>IF(COTIZADOR!N40="","",COTIZADOR!N40)</f>
        <v>2850</v>
      </c>
      <c r="G36" s="43" t="str">
        <f>IF(COTIZADOR!O40=0,"-",COTIZADOR!O40)</f>
        <v>-</v>
      </c>
      <c r="H36" s="37">
        <f>IF(COTIZADOR!P40="","",COTIZADOR!P40)</f>
        <v>5700</v>
      </c>
    </row>
    <row r="37" spans="1:8" ht="18" customHeight="1" x14ac:dyDescent="0.2">
      <c r="A37" s="38">
        <v>28</v>
      </c>
      <c r="B37" s="20" t="str">
        <f>IF(COTIZADOR!B41="","",COTIZADOR!B41)</f>
        <v>ZAPATERA EXTRAÍBLE</v>
      </c>
      <c r="C37" s="20" t="str">
        <f>IF(COTIZADOR!B41="","",COTIZADOR!B41&amp;" "&amp;COTIZADOR!C41&amp;"x"&amp;COTIZADOR!D41&amp;" "&amp;COTIZADOR!F41)</f>
        <v>ZAPATERA EXTRAÍBLE 100x35 NOGAL</v>
      </c>
      <c r="D37" s="42">
        <f>IF(COTIZADOR!G41="","",COTIZADOR!G41)</f>
        <v>2</v>
      </c>
      <c r="E37" s="42" t="str">
        <f>IF(COTIZADOR!B41="","","PZA")</f>
        <v>PZA</v>
      </c>
      <c r="F37" s="37">
        <f>IF(COTIZADOR!N41="","",COTIZADOR!N41)</f>
        <v>850</v>
      </c>
      <c r="G37" s="43" t="str">
        <f>IF(COTIZADOR!O41=0,"-",COTIZADOR!O41)</f>
        <v>-</v>
      </c>
      <c r="H37" s="37">
        <f>IF(COTIZADOR!P41="","",COTIZADOR!P41)</f>
        <v>1700</v>
      </c>
    </row>
    <row r="38" spans="1:8" ht="18" customHeight="1" x14ac:dyDescent="0.2">
      <c r="A38" s="36">
        <v>29</v>
      </c>
      <c r="B38" s="20" t="str">
        <f>IF(COTIZADOR!B42="","",COTIZADOR!B42)</f>
        <v>ENTREPAÑO</v>
      </c>
      <c r="C38" s="20" t="str">
        <f>IF(COTIZADOR!B42="","",COTIZADOR!B42&amp;" "&amp;COTIZADOR!C42&amp;"x"&amp;COTIZADOR!D42&amp;" "&amp;COTIZADOR!F42)</f>
        <v>ENTREPAÑO 35x100 NOGAL</v>
      </c>
      <c r="D38" s="42">
        <f>IF(COTIZADOR!G42="","",COTIZADOR!G42)</f>
        <v>5</v>
      </c>
      <c r="E38" s="42" t="str">
        <f>IF(COTIZADOR!B42="","","PZA")</f>
        <v>PZA</v>
      </c>
      <c r="F38" s="37">
        <f>IF(COTIZADOR!N42="","",COTIZADOR!N42)</f>
        <v>750</v>
      </c>
      <c r="G38" s="43" t="str">
        <f>IF(COTIZADOR!O42=0,"-",COTIZADOR!O42)</f>
        <v>-</v>
      </c>
      <c r="H38" s="37">
        <f>IF(COTIZADOR!P42="","",COTIZADOR!P42)</f>
        <v>3750</v>
      </c>
    </row>
    <row r="39" spans="1:8" ht="18" customHeight="1" x14ac:dyDescent="0.2">
      <c r="A39" s="38">
        <v>30</v>
      </c>
      <c r="B39" s="20" t="str">
        <f>IF(COTIZADOR!B43="","",COTIZADOR!B43)</f>
        <v>ENTREPAÑO DELGADO</v>
      </c>
      <c r="C39" s="20" t="str">
        <f>IF(COTIZADOR!B43="","",COTIZADOR!B43&amp;" "&amp;COTIZADOR!C43&amp;"x"&amp;COTIZADOR!D43&amp;" "&amp;COTIZADOR!F43)</f>
        <v>ENTREPAÑO DELGADO 35x100 NOGAL</v>
      </c>
      <c r="D39" s="42">
        <f>IF(COTIZADOR!G43="","",COTIZADOR!G43)</f>
        <v>1</v>
      </c>
      <c r="E39" s="42" t="str">
        <f>IF(COTIZADOR!B43="","","PZA")</f>
        <v>PZA</v>
      </c>
      <c r="F39" s="37">
        <f>IF(COTIZADOR!N43="","",COTIZADOR!N43)</f>
        <v>700</v>
      </c>
      <c r="G39" s="43" t="str">
        <f>IF(COTIZADOR!O43=0,"-",COTIZADOR!O43)</f>
        <v>-</v>
      </c>
      <c r="H39" s="37">
        <f>IF(COTIZADOR!P43="","",COTIZADOR!P43)</f>
        <v>700</v>
      </c>
    </row>
    <row r="40" spans="1:8" ht="18" customHeight="1" x14ac:dyDescent="0.2">
      <c r="A40" s="36">
        <v>31</v>
      </c>
      <c r="B40" s="20" t="str">
        <f>IF(COTIZADOR!B44="","",COTIZADOR!B44)</f>
        <v>FONDO MADERA</v>
      </c>
      <c r="C40" s="20" t="str">
        <f>IF(COTIZADOR!B44="","",COTIZADOR!B44&amp;" "&amp;COTIZADOR!C44&amp;"x"&amp;COTIZADOR!D44&amp;" "&amp;COTIZADOR!F44)</f>
        <v>FONDO MADERA 100x305 NOGAL</v>
      </c>
      <c r="D40" s="42">
        <f>IF(COTIZADOR!G44="","",COTIZADOR!G44)</f>
        <v>1</v>
      </c>
      <c r="E40" s="42" t="str">
        <f>IF(COTIZADOR!B44="","","PZA")</f>
        <v>PZA</v>
      </c>
      <c r="F40" s="37">
        <f>IF(COTIZADOR!N44="","",COTIZADOR!N44)</f>
        <v>1900</v>
      </c>
      <c r="G40" s="43" t="str">
        <f>IF(COTIZADOR!O44=0,"-",COTIZADOR!O44)</f>
        <v>-</v>
      </c>
      <c r="H40" s="37">
        <f>IF(COTIZADOR!P44="","",COTIZADOR!P44)</f>
        <v>1900</v>
      </c>
    </row>
    <row r="41" spans="1:8" ht="18" customHeight="1" x14ac:dyDescent="0.2">
      <c r="A41" s="38">
        <v>32</v>
      </c>
      <c r="B41" s="20" t="str">
        <f>IF(COTIZADOR!B45="","",COTIZADOR!B45)</f>
        <v>MOLDURA DIFÍCIL</v>
      </c>
      <c r="C41" s="20" t="str">
        <f>IF(COTIZADOR!B45="","",COTIZADOR!B45&amp;" "&amp;COTIZADOR!C45&amp;"x"&amp;COTIZADOR!D45&amp;" "&amp;COTIZADOR!F45)</f>
        <v>MOLDURA DIFÍCIL 5x210 NOGAL</v>
      </c>
      <c r="D41" s="42">
        <f>IF(COTIZADOR!G45="","",COTIZADOR!G45)</f>
        <v>1</v>
      </c>
      <c r="E41" s="42" t="str">
        <f>IF(COTIZADOR!B45="","","PZA")</f>
        <v>PZA</v>
      </c>
      <c r="F41" s="37">
        <f>IF(COTIZADOR!N45="","",COTIZADOR!N45)</f>
        <v>1300</v>
      </c>
      <c r="G41" s="43" t="str">
        <f>IF(COTIZADOR!O45=0,"-",COTIZADOR!O45)</f>
        <v>-</v>
      </c>
      <c r="H41" s="37">
        <f>IF(COTIZADOR!P45="","",COTIZADOR!P45)</f>
        <v>1300</v>
      </c>
    </row>
    <row r="42" spans="1:8" ht="18" customHeight="1" x14ac:dyDescent="0.2">
      <c r="A42" s="36">
        <v>33</v>
      </c>
      <c r="B42" s="20" t="str">
        <f>IF(COTIZADOR!B46="","",COTIZADOR!B46)</f>
        <v>ANTECÁMARA NIÑAS</v>
      </c>
      <c r="C42" s="20" t="str">
        <f>IF(COTIZADOR!B46="","",COTIZADOR!B46&amp;" "&amp;COTIZADOR!C46&amp;"x"&amp;COTIZADOR!D46&amp;" "&amp;COTIZADOR!F46)</f>
        <v xml:space="preserve">ANTECÁMARA NIÑAS x </v>
      </c>
      <c r="D42" s="42" t="str">
        <f>IF(COTIZADOR!G46="","",COTIZADOR!G46)</f>
        <v/>
      </c>
      <c r="E42" s="42" t="str">
        <f>IF(COTIZADOR!B46="","","PZA")</f>
        <v>PZA</v>
      </c>
      <c r="F42" s="37" t="str">
        <f>IF(COTIZADOR!N46="","",COTIZADOR!N46)</f>
        <v/>
      </c>
      <c r="G42" s="43" t="str">
        <f>IF(COTIZADOR!O46=0,"-",COTIZADOR!O46)</f>
        <v>-</v>
      </c>
      <c r="H42" s="37" t="str">
        <f>IF(COTIZADOR!P46="","",COTIZADOR!P46)</f>
        <v/>
      </c>
    </row>
    <row r="43" spans="1:8" ht="18" customHeight="1" x14ac:dyDescent="0.2">
      <c r="A43" s="38">
        <v>34</v>
      </c>
      <c r="B43" s="20" t="str">
        <f>IF(COTIZADOR!B47="","",COTIZADOR!B47)</f>
        <v>PISO CON ZOCLO</v>
      </c>
      <c r="C43" s="20" t="str">
        <f>IF(COTIZADOR!B47="","",COTIZADOR!B47&amp;" "&amp;COTIZADOR!C47&amp;"x"&amp;COTIZADOR!D47&amp;" "&amp;COTIZADOR!F47)</f>
        <v>PISO CON ZOCLO 25x250 NOGAL</v>
      </c>
      <c r="D43" s="42">
        <f>IF(COTIZADOR!G47="","",COTIZADOR!G47)</f>
        <v>1</v>
      </c>
      <c r="E43" s="42" t="str">
        <f>IF(COTIZADOR!B47="","","PZA")</f>
        <v>PZA</v>
      </c>
      <c r="F43" s="37">
        <f>IF(COTIZADOR!N47="","",COTIZADOR!N47)</f>
        <v>1300</v>
      </c>
      <c r="G43" s="43" t="str">
        <f>IF(COTIZADOR!O47=0,"-",COTIZADOR!O47)</f>
        <v>-</v>
      </c>
      <c r="H43" s="37">
        <f>IF(COTIZADOR!P47="","",COTIZADOR!P47)</f>
        <v>1300</v>
      </c>
    </row>
    <row r="44" spans="1:8" ht="18" customHeight="1" x14ac:dyDescent="0.2">
      <c r="A44" s="36">
        <v>35</v>
      </c>
      <c r="B44" s="20" t="str">
        <f>IF(COTIZADOR!B75="","",COTIZADOR!B75)</f>
        <v/>
      </c>
      <c r="C44" s="20" t="str">
        <f>IF(COTIZADOR!B75="","",COTIZADOR!B75&amp;" "&amp;COTIZADOR!C75&amp;"x"&amp;COTIZADOR!D75&amp;" "&amp;COTIZADOR!F75)</f>
        <v/>
      </c>
      <c r="D44" s="42" t="str">
        <f>IF(COTIZADOR!G75="","",COTIZADOR!G75)</f>
        <v/>
      </c>
      <c r="E44" s="42" t="str">
        <f>IF(COTIZADOR!B75="","","PZA")</f>
        <v/>
      </c>
      <c r="F44" s="37" t="str">
        <f>IF(COTIZADOR!N75="","",COTIZADOR!N75)</f>
        <v/>
      </c>
      <c r="G44" s="43" t="str">
        <f>IF(COTIZADOR!O75=0,"-",COTIZADOR!O75)</f>
        <v>-</v>
      </c>
      <c r="H44" s="37" t="str">
        <f>IF(COTIZADOR!P75="","",COTIZADOR!P75)</f>
        <v/>
      </c>
    </row>
    <row r="46" spans="1:8" x14ac:dyDescent="0.2">
      <c r="A46" s="87" t="s">
        <v>1604</v>
      </c>
      <c r="B46" s="87"/>
      <c r="C46" s="87"/>
      <c r="D46" s="87"/>
      <c r="E46" s="87"/>
      <c r="F46" s="87"/>
      <c r="G46" s="87"/>
      <c r="H46" s="87"/>
    </row>
    <row r="47" spans="1:8" x14ac:dyDescent="0.2">
      <c r="A47" s="357" t="s">
        <v>116</v>
      </c>
      <c r="B47" s="356" t="s">
        <v>180</v>
      </c>
      <c r="C47" s="356"/>
      <c r="D47" s="356"/>
      <c r="E47" s="356"/>
      <c r="F47" s="356"/>
      <c r="G47" s="356"/>
      <c r="H47" s="357" t="s">
        <v>1605</v>
      </c>
    </row>
    <row r="48" spans="1:8" x14ac:dyDescent="0.2">
      <c r="A48" s="364" t="str">
        <f>IF(COTIZADOR!P199=0,"",1)</f>
        <v/>
      </c>
      <c r="B48" s="354" t="str">
        <f>IF(COTIZADOR!P199=0,"","Traslado zona metropolitana CDMX")</f>
        <v/>
      </c>
      <c r="C48" s="354"/>
      <c r="D48" s="354"/>
      <c r="E48" s="354"/>
      <c r="F48" s="354"/>
      <c r="G48" s="354"/>
      <c r="H48" s="366" t="str">
        <f>IF(COTIZADOR!P199=0,"",COTIZADOR!P199)</f>
        <v/>
      </c>
    </row>
    <row r="49" spans="1:8" x14ac:dyDescent="0.2">
      <c r="A49" s="365" t="str">
        <f>IF(COTIZADOR!P200=0,"",2)</f>
        <v/>
      </c>
      <c r="B49" s="355" t="str">
        <f>IF(COTIZADOR!P200=0,"","Traslado foráneo interior de la República")</f>
        <v/>
      </c>
      <c r="C49" s="355"/>
      <c r="D49" s="355"/>
      <c r="E49" s="355"/>
      <c r="F49" s="355"/>
      <c r="G49" s="355"/>
      <c r="H49" s="367" t="str">
        <f>IF(COTIZADOR!P200=0,"",COTIZADOR!P200)</f>
        <v/>
      </c>
    </row>
    <row r="50" spans="1:8" x14ac:dyDescent="0.2">
      <c r="A50" s="364" t="str">
        <f>IF(COTIZADOR!P201=0,"",3)</f>
        <v/>
      </c>
      <c r="B50" s="354" t="str">
        <f>IF(COTIZADOR!P201=0,"","Viáticos")</f>
        <v/>
      </c>
      <c r="C50" s="354"/>
      <c r="D50" s="354"/>
      <c r="E50" s="354"/>
      <c r="F50" s="354"/>
      <c r="G50" s="354"/>
      <c r="H50" s="366" t="str">
        <f>IF(COTIZADOR!P201=0,"",COTIZADOR!P201)</f>
        <v/>
      </c>
    </row>
    <row r="51" spans="1:8" x14ac:dyDescent="0.2">
      <c r="A51" s="365" t="str">
        <f>IF(COTIZADOR!P202=0,"",4)</f>
        <v/>
      </c>
      <c r="B51" s="355" t="str">
        <f>IF(COTIZADOR!P202=0,"","Hospedaje")</f>
        <v/>
      </c>
      <c r="C51" s="355"/>
      <c r="D51" s="355"/>
      <c r="E51" s="355"/>
      <c r="F51" s="355"/>
      <c r="G51" s="355"/>
      <c r="H51" s="367" t="str">
        <f>IF(COTIZADOR!P202=0,"",COTIZADOR!P202)</f>
        <v/>
      </c>
    </row>
    <row r="52" spans="1:8" x14ac:dyDescent="0.2">
      <c r="A52" s="364" t="str">
        <f>IF(COTIZADOR!P203=0,"",5)</f>
        <v/>
      </c>
      <c r="B52" s="354" t="str">
        <f>IF(COTIZADOR!P203=0,"","Imprevistos en sitio")</f>
        <v/>
      </c>
      <c r="C52" s="354"/>
      <c r="D52" s="354"/>
      <c r="E52" s="354"/>
      <c r="F52" s="354"/>
      <c r="G52" s="354"/>
      <c r="H52" s="366" t="str">
        <f>IF(COTIZADOR!P203=0,"",COTIZADOR!P203)</f>
        <v/>
      </c>
    </row>
    <row r="54" spans="1:8" x14ac:dyDescent="0.2">
      <c r="A54" s="49" t="s">
        <v>1613</v>
      </c>
      <c r="B54" s="49"/>
      <c r="C54" s="49"/>
      <c r="D54" s="49"/>
      <c r="E54" s="49"/>
      <c r="F54" s="50">
        <f>COTIZADOR!P206</f>
        <v>599500</v>
      </c>
      <c r="G54" s="50"/>
      <c r="H54" s="50"/>
    </row>
    <row r="55" spans="1:8" x14ac:dyDescent="0.2">
      <c r="A55" s="49" t="s">
        <v>123</v>
      </c>
      <c r="B55" s="49"/>
      <c r="C55" s="49"/>
      <c r="D55" s="49"/>
      <c r="E55" s="49"/>
      <c r="F55" s="50">
        <f>COTIZADOR!P207</f>
        <v>95919.999999999956</v>
      </c>
      <c r="G55" s="50"/>
      <c r="H55" s="50"/>
    </row>
    <row r="56" spans="1:8" ht="27.75" customHeight="1" x14ac:dyDescent="0.2">
      <c r="A56" s="51" t="s">
        <v>153</v>
      </c>
      <c r="B56" s="51"/>
      <c r="C56" s="51"/>
      <c r="D56" s="51"/>
      <c r="E56" s="51"/>
      <c r="F56" s="44">
        <f>COTIZADOR!P208</f>
        <v>695420</v>
      </c>
      <c r="G56" s="44"/>
      <c r="H56" s="44"/>
    </row>
    <row r="58" spans="1:8" ht="15" customHeight="1" x14ac:dyDescent="0.2">
      <c r="A58" s="52" t="s">
        <v>154</v>
      </c>
      <c r="B58" s="52"/>
      <c r="C58" s="52"/>
      <c r="D58" s="52"/>
      <c r="E58" s="52"/>
      <c r="F58" s="52"/>
      <c r="G58" s="52"/>
      <c r="H58" s="52"/>
    </row>
    <row r="59" spans="1:8" ht="15" customHeight="1" x14ac:dyDescent="0.2">
      <c r="A59" s="53" t="s">
        <v>155</v>
      </c>
      <c r="B59" s="53"/>
      <c r="C59" s="53"/>
      <c r="D59" s="53"/>
      <c r="E59" s="53"/>
      <c r="F59" s="53"/>
      <c r="G59" s="53"/>
      <c r="H59" s="53"/>
    </row>
    <row r="60" spans="1:8" ht="15" customHeight="1" x14ac:dyDescent="0.2">
      <c r="A60" s="53" t="s">
        <v>156</v>
      </c>
      <c r="B60" s="53"/>
      <c r="C60" s="53"/>
      <c r="D60" s="53"/>
      <c r="E60" s="53"/>
      <c r="F60" s="53"/>
      <c r="G60" s="53"/>
      <c r="H60" s="53"/>
    </row>
    <row r="61" spans="1:8" ht="15" customHeight="1" x14ac:dyDescent="0.2">
      <c r="A61" s="53" t="s">
        <v>157</v>
      </c>
      <c r="B61" s="53"/>
      <c r="C61" s="53"/>
      <c r="D61" s="53"/>
      <c r="E61" s="53"/>
      <c r="F61" s="53"/>
      <c r="G61" s="53"/>
      <c r="H61" s="53"/>
    </row>
    <row r="62" spans="1:8" ht="15" customHeight="1" x14ac:dyDescent="0.2">
      <c r="A62" s="53" t="s">
        <v>158</v>
      </c>
      <c r="B62" s="53"/>
      <c r="C62" s="53"/>
      <c r="D62" s="53"/>
      <c r="E62" s="53"/>
      <c r="F62" s="53"/>
      <c r="G62" s="53"/>
      <c r="H62" s="53"/>
    </row>
    <row r="63" spans="1:8" ht="15" customHeight="1" x14ac:dyDescent="0.2">
      <c r="A63" s="53" t="s">
        <v>159</v>
      </c>
      <c r="B63" s="53"/>
      <c r="C63" s="53"/>
      <c r="D63" s="53"/>
      <c r="E63" s="53"/>
      <c r="F63" s="53"/>
      <c r="G63" s="53"/>
      <c r="H63" s="53"/>
    </row>
    <row r="65" spans="1:8" x14ac:dyDescent="0.2">
      <c r="A65" s="54" t="s">
        <v>160</v>
      </c>
      <c r="B65" s="54"/>
      <c r="C65" s="54"/>
      <c r="F65" s="54" t="s">
        <v>161</v>
      </c>
      <c r="G65" s="54"/>
      <c r="H65" s="54"/>
    </row>
  </sheetData>
  <mergeCells count="27">
    <mergeCell ref="A63:H63"/>
    <mergeCell ref="A65:C65"/>
    <mergeCell ref="F65:H65"/>
    <mergeCell ref="A46:H46"/>
    <mergeCell ref="B47:G47"/>
    <mergeCell ref="B48:G48"/>
    <mergeCell ref="B49:G49"/>
    <mergeCell ref="B50:G50"/>
    <mergeCell ref="B51:G51"/>
    <mergeCell ref="B52:G52"/>
    <mergeCell ref="A58:H58"/>
    <mergeCell ref="A59:H59"/>
    <mergeCell ref="A60:H60"/>
    <mergeCell ref="A61:H61"/>
    <mergeCell ref="A62:H62"/>
    <mergeCell ref="A54:E54"/>
    <mergeCell ref="F54:H54"/>
    <mergeCell ref="A55:E55"/>
    <mergeCell ref="F55:H55"/>
    <mergeCell ref="A56:E56"/>
    <mergeCell ref="F56:H56"/>
    <mergeCell ref="A1:H1"/>
    <mergeCell ref="A2:H2"/>
    <mergeCell ref="B5:C5"/>
    <mergeCell ref="F5:G5"/>
    <mergeCell ref="B6:C6"/>
    <mergeCell ref="F6:G6"/>
  </mergeCells>
  <pageMargins left="0.75" right="0.75" top="1" bottom="1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7AE60"/>
  </sheetPr>
  <dimension ref="A1:F31"/>
  <sheetViews>
    <sheetView showGridLines="0" zoomScaleNormal="100" workbookViewId="0">
      <selection sqref="A1:E1"/>
    </sheetView>
  </sheetViews>
  <sheetFormatPr baseColWidth="10" defaultColWidth="8.6640625" defaultRowHeight="15" x14ac:dyDescent="0.2"/>
  <cols>
    <col min="1" max="1" width="26.6640625" customWidth="1"/>
    <col min="2" max="2" width="58.33203125" customWidth="1"/>
    <col min="3" max="4" width="30" customWidth="1"/>
    <col min="5" max="5" width="20" customWidth="1"/>
  </cols>
  <sheetData>
    <row r="1" spans="1:6" ht="27.75" customHeight="1" x14ac:dyDescent="0.2">
      <c r="A1" s="151" t="s">
        <v>1537</v>
      </c>
      <c r="B1" s="152"/>
      <c r="C1" s="152"/>
      <c r="D1" s="152"/>
      <c r="E1" s="152"/>
      <c r="F1" s="152"/>
    </row>
    <row r="3" spans="1:6" ht="27.75" customHeight="1" x14ac:dyDescent="0.2">
      <c r="A3" s="343" t="s">
        <v>1538</v>
      </c>
    </row>
    <row r="4" spans="1:6" ht="36" customHeight="1" x14ac:dyDescent="0.2">
      <c r="A4" s="82" t="s">
        <v>163</v>
      </c>
      <c r="B4" s="82" t="s">
        <v>1539</v>
      </c>
      <c r="C4" s="82" t="s">
        <v>1540</v>
      </c>
      <c r="D4" s="82" t="s">
        <v>165</v>
      </c>
    </row>
    <row r="5" spans="1:6" ht="36" customHeight="1" x14ac:dyDescent="0.2">
      <c r="A5" s="59" t="s">
        <v>168</v>
      </c>
      <c r="B5" s="59" t="s">
        <v>1541</v>
      </c>
      <c r="C5" s="59" t="s">
        <v>1542</v>
      </c>
      <c r="D5" s="59" t="s">
        <v>1543</v>
      </c>
    </row>
    <row r="6" spans="1:6" ht="36" customHeight="1" x14ac:dyDescent="0.2">
      <c r="A6" s="59" t="s">
        <v>166</v>
      </c>
      <c r="B6" s="59" t="s">
        <v>1544</v>
      </c>
      <c r="C6" s="59" t="s">
        <v>1545</v>
      </c>
      <c r="D6" s="59" t="s">
        <v>167</v>
      </c>
    </row>
    <row r="7" spans="1:6" ht="36" customHeight="1" x14ac:dyDescent="0.2">
      <c r="A7" s="59" t="s">
        <v>768</v>
      </c>
      <c r="B7" s="59" t="s">
        <v>1546</v>
      </c>
      <c r="C7" s="59" t="s">
        <v>1547</v>
      </c>
      <c r="D7" s="59" t="s">
        <v>1548</v>
      </c>
    </row>
    <row r="8" spans="1:6" ht="36" customHeight="1" x14ac:dyDescent="0.2">
      <c r="A8" s="59" t="s">
        <v>1549</v>
      </c>
      <c r="B8" s="59" t="s">
        <v>1550</v>
      </c>
      <c r="C8" s="59" t="s">
        <v>1551</v>
      </c>
      <c r="D8" s="59" t="s">
        <v>1552</v>
      </c>
    </row>
    <row r="9" spans="1:6" x14ac:dyDescent="0.2">
      <c r="A9" s="59" t="s">
        <v>1553</v>
      </c>
      <c r="B9" s="59" t="s">
        <v>1554</v>
      </c>
      <c r="C9" s="59" t="s">
        <v>1555</v>
      </c>
      <c r="D9" s="59" t="s">
        <v>1556</v>
      </c>
    </row>
    <row r="10" spans="1:6" x14ac:dyDescent="0.2">
      <c r="A10" s="59" t="s">
        <v>170</v>
      </c>
      <c r="B10" s="59" t="s">
        <v>1557</v>
      </c>
      <c r="C10" s="59" t="s">
        <v>1558</v>
      </c>
      <c r="D10" s="59" t="s">
        <v>171</v>
      </c>
    </row>
    <row r="11" spans="1:6" ht="15" customHeight="1" x14ac:dyDescent="0.2">
      <c r="A11" s="59" t="s">
        <v>172</v>
      </c>
      <c r="B11" s="59" t="s">
        <v>1559</v>
      </c>
      <c r="C11" s="59" t="s">
        <v>1560</v>
      </c>
      <c r="D11" s="59" t="s">
        <v>173</v>
      </c>
    </row>
    <row r="12" spans="1:6" ht="24" customHeight="1" x14ac:dyDescent="0.2"/>
    <row r="13" spans="1:6" ht="24" customHeight="1" x14ac:dyDescent="0.2">
      <c r="A13" s="346" t="s">
        <v>1561</v>
      </c>
    </row>
    <row r="14" spans="1:6" ht="24" customHeight="1" x14ac:dyDescent="0.2">
      <c r="A14" s="345" t="s">
        <v>162</v>
      </c>
      <c r="B14" s="345" t="s">
        <v>164</v>
      </c>
    </row>
    <row r="15" spans="1:6" ht="24" customHeight="1" x14ac:dyDescent="0.2">
      <c r="A15" s="125">
        <v>1</v>
      </c>
      <c r="B15" s="125" t="s">
        <v>1562</v>
      </c>
    </row>
    <row r="16" spans="1:6" ht="24" customHeight="1" x14ac:dyDescent="0.2">
      <c r="A16" s="125">
        <v>2</v>
      </c>
      <c r="B16" s="125" t="s">
        <v>1563</v>
      </c>
    </row>
    <row r="17" spans="1:2" x14ac:dyDescent="0.2">
      <c r="A17" s="125">
        <v>3</v>
      </c>
      <c r="B17" s="125" t="s">
        <v>1617</v>
      </c>
    </row>
    <row r="18" spans="1:2" x14ac:dyDescent="0.2">
      <c r="A18" s="125">
        <v>4</v>
      </c>
      <c r="B18" s="125" t="s">
        <v>1564</v>
      </c>
    </row>
    <row r="19" spans="1:2" x14ac:dyDescent="0.2">
      <c r="A19" s="125">
        <v>5</v>
      </c>
      <c r="B19" s="125" t="s">
        <v>1565</v>
      </c>
    </row>
    <row r="20" spans="1:2" x14ac:dyDescent="0.2">
      <c r="A20" s="125">
        <v>6</v>
      </c>
      <c r="B20" s="125" t="s">
        <v>1566</v>
      </c>
    </row>
    <row r="22" spans="1:2" ht="16" x14ac:dyDescent="0.2">
      <c r="A22" s="343" t="s">
        <v>1567</v>
      </c>
    </row>
    <row r="23" spans="1:2" x14ac:dyDescent="0.2">
      <c r="A23" s="59" t="s">
        <v>1568</v>
      </c>
    </row>
    <row r="24" spans="1:2" x14ac:dyDescent="0.2">
      <c r="A24" s="59" t="s">
        <v>1569</v>
      </c>
    </row>
    <row r="25" spans="1:2" x14ac:dyDescent="0.2">
      <c r="A25" s="59" t="s">
        <v>1618</v>
      </c>
    </row>
    <row r="26" spans="1:2" x14ac:dyDescent="0.2">
      <c r="A26" s="59" t="s">
        <v>1570</v>
      </c>
    </row>
    <row r="27" spans="1:2" x14ac:dyDescent="0.2">
      <c r="A27" s="59" t="s">
        <v>1571</v>
      </c>
    </row>
    <row r="28" spans="1:2" x14ac:dyDescent="0.2">
      <c r="A28" s="59" t="s">
        <v>1572</v>
      </c>
    </row>
    <row r="29" spans="1:2" x14ac:dyDescent="0.2">
      <c r="A29" s="59" t="s">
        <v>1573</v>
      </c>
    </row>
    <row r="30" spans="1:2" x14ac:dyDescent="0.2">
      <c r="A30" s="59" t="s">
        <v>1574</v>
      </c>
    </row>
    <row r="31" spans="1:2" x14ac:dyDescent="0.2">
      <c r="A31" s="59" t="s">
        <v>1575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2B3C"/>
  </sheetPr>
  <dimension ref="A1:N31"/>
  <sheetViews>
    <sheetView showGridLines="0" zoomScaleNormal="100" workbookViewId="0">
      <pane ySplit="6" topLeftCell="A7" activePane="bottomLeft" state="frozen"/>
      <selection pane="bottomLeft" activeCell="E7" sqref="E7"/>
    </sheetView>
  </sheetViews>
  <sheetFormatPr baseColWidth="10" defaultColWidth="8.6640625" defaultRowHeight="15" x14ac:dyDescent="0.2"/>
  <cols>
    <col min="1" max="1" width="14" customWidth="1"/>
    <col min="2" max="2" width="28" customWidth="1"/>
    <col min="3" max="3" width="16" customWidth="1"/>
    <col min="4" max="6" width="10" customWidth="1"/>
    <col min="7" max="7" width="16" customWidth="1"/>
    <col min="8" max="10" width="12" customWidth="1"/>
    <col min="11" max="11" width="14" customWidth="1"/>
    <col min="12" max="12" width="12" customWidth="1"/>
    <col min="13" max="13" width="14" customWidth="1"/>
    <col min="14" max="14" width="10" customWidth="1"/>
  </cols>
  <sheetData>
    <row r="1" spans="1:14" ht="27.75" customHeight="1" x14ac:dyDescent="0.2">
      <c r="A1" s="11" t="s">
        <v>175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" customHeight="1" x14ac:dyDescent="0.2">
      <c r="A2" s="10" t="s">
        <v>11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spans="1:14" ht="21.75" customHeight="1" x14ac:dyDescent="0.2">
      <c r="A4" s="8" t="s">
        <v>12</v>
      </c>
      <c r="B4" s="8"/>
      <c r="C4" s="8"/>
      <c r="D4" s="8" t="s">
        <v>13</v>
      </c>
      <c r="E4" s="8"/>
      <c r="F4" s="8"/>
      <c r="G4" s="8"/>
      <c r="H4" s="8" t="s">
        <v>14</v>
      </c>
      <c r="I4" s="8"/>
      <c r="J4" s="8"/>
      <c r="K4" s="8" t="s">
        <v>15</v>
      </c>
      <c r="L4" s="8"/>
      <c r="M4" s="8"/>
      <c r="N4" s="8"/>
    </row>
    <row r="6" spans="1:14" ht="36" customHeight="1" x14ac:dyDescent="0.2">
      <c r="A6" s="19" t="s">
        <v>16</v>
      </c>
      <c r="B6" s="19" t="s">
        <v>17</v>
      </c>
      <c r="C6" s="19" t="s">
        <v>18</v>
      </c>
      <c r="D6" s="19" t="s">
        <v>19</v>
      </c>
      <c r="E6" s="19" t="s">
        <v>20</v>
      </c>
      <c r="F6" s="19" t="s">
        <v>21</v>
      </c>
      <c r="G6" s="19" t="s">
        <v>22</v>
      </c>
      <c r="H6" s="19" t="s">
        <v>23</v>
      </c>
      <c r="I6" s="19" t="s">
        <v>24</v>
      </c>
      <c r="J6" s="19" t="s">
        <v>25</v>
      </c>
      <c r="K6" s="19" t="s">
        <v>26</v>
      </c>
      <c r="L6" s="19" t="s">
        <v>27</v>
      </c>
      <c r="M6" s="19" t="s">
        <v>28</v>
      </c>
      <c r="N6" s="19" t="s">
        <v>29</v>
      </c>
    </row>
    <row r="7" spans="1:14" x14ac:dyDescent="0.2">
      <c r="A7" s="15" t="s">
        <v>30</v>
      </c>
      <c r="B7" s="20" t="s">
        <v>31</v>
      </c>
      <c r="C7" s="21" t="s">
        <v>32</v>
      </c>
      <c r="D7" s="22">
        <v>195</v>
      </c>
      <c r="E7" s="22">
        <v>40</v>
      </c>
      <c r="F7" s="22"/>
      <c r="G7" s="23" t="s">
        <v>33</v>
      </c>
      <c r="H7" s="24" t="s">
        <v>34</v>
      </c>
      <c r="I7" s="24" t="s">
        <v>35</v>
      </c>
      <c r="J7" s="24" t="s">
        <v>36</v>
      </c>
      <c r="K7" s="25">
        <v>850</v>
      </c>
      <c r="L7" s="25">
        <v>450</v>
      </c>
      <c r="M7" s="26">
        <f t="shared" ref="M7:M29" si="0">K7+L7</f>
        <v>1300</v>
      </c>
      <c r="N7" s="21" t="s">
        <v>37</v>
      </c>
    </row>
    <row r="8" spans="1:14" x14ac:dyDescent="0.2">
      <c r="A8" s="27" t="s">
        <v>38</v>
      </c>
      <c r="B8" s="28" t="s">
        <v>31</v>
      </c>
      <c r="C8" s="29" t="s">
        <v>32</v>
      </c>
      <c r="D8" s="30">
        <v>210</v>
      </c>
      <c r="E8" s="30">
        <v>40</v>
      </c>
      <c r="F8" s="30"/>
      <c r="G8" s="31" t="s">
        <v>33</v>
      </c>
      <c r="H8" s="32" t="s">
        <v>34</v>
      </c>
      <c r="I8" s="32" t="s">
        <v>35</v>
      </c>
      <c r="J8" s="32" t="s">
        <v>36</v>
      </c>
      <c r="K8" s="33">
        <v>920</v>
      </c>
      <c r="L8" s="33">
        <v>450</v>
      </c>
      <c r="M8" s="34">
        <f t="shared" si="0"/>
        <v>1370</v>
      </c>
      <c r="N8" s="29" t="s">
        <v>37</v>
      </c>
    </row>
    <row r="9" spans="1:14" x14ac:dyDescent="0.2">
      <c r="A9" s="15" t="s">
        <v>39</v>
      </c>
      <c r="B9" s="20" t="s">
        <v>31</v>
      </c>
      <c r="C9" s="21" t="s">
        <v>32</v>
      </c>
      <c r="D9" s="22">
        <v>244</v>
      </c>
      <c r="E9" s="22">
        <v>40</v>
      </c>
      <c r="F9" s="22"/>
      <c r="G9" s="23" t="s">
        <v>33</v>
      </c>
      <c r="H9" s="24" t="s">
        <v>34</v>
      </c>
      <c r="I9" s="24" t="s">
        <v>35</v>
      </c>
      <c r="J9" s="24" t="s">
        <v>36</v>
      </c>
      <c r="K9" s="25">
        <v>1050</v>
      </c>
      <c r="L9" s="25">
        <v>500</v>
      </c>
      <c r="M9" s="26">
        <f t="shared" si="0"/>
        <v>1550</v>
      </c>
      <c r="N9" s="21" t="s">
        <v>37</v>
      </c>
    </row>
    <row r="10" spans="1:14" x14ac:dyDescent="0.2">
      <c r="A10" s="27" t="s">
        <v>40</v>
      </c>
      <c r="B10" s="28" t="s">
        <v>31</v>
      </c>
      <c r="C10" s="29" t="s">
        <v>32</v>
      </c>
      <c r="D10" s="30">
        <v>195</v>
      </c>
      <c r="E10" s="30">
        <v>60</v>
      </c>
      <c r="F10" s="30"/>
      <c r="G10" s="31" t="s">
        <v>33</v>
      </c>
      <c r="H10" s="32" t="s">
        <v>34</v>
      </c>
      <c r="I10" s="32" t="s">
        <v>35</v>
      </c>
      <c r="J10" s="32" t="s">
        <v>36</v>
      </c>
      <c r="K10" s="33">
        <v>1100</v>
      </c>
      <c r="L10" s="33">
        <v>500</v>
      </c>
      <c r="M10" s="34">
        <f t="shared" si="0"/>
        <v>1600</v>
      </c>
      <c r="N10" s="29" t="s">
        <v>37</v>
      </c>
    </row>
    <row r="11" spans="1:14" x14ac:dyDescent="0.2">
      <c r="A11" s="15" t="s">
        <v>41</v>
      </c>
      <c r="B11" s="20" t="s">
        <v>42</v>
      </c>
      <c r="C11" s="21" t="s">
        <v>32</v>
      </c>
      <c r="D11" s="22">
        <v>195</v>
      </c>
      <c r="E11" s="22">
        <v>40</v>
      </c>
      <c r="F11" s="22"/>
      <c r="G11" s="23" t="s">
        <v>43</v>
      </c>
      <c r="H11" s="24" t="s">
        <v>44</v>
      </c>
      <c r="I11" s="24" t="s">
        <v>35</v>
      </c>
      <c r="J11" s="24" t="s">
        <v>45</v>
      </c>
      <c r="K11" s="25">
        <v>520</v>
      </c>
      <c r="L11" s="25">
        <v>380</v>
      </c>
      <c r="M11" s="26">
        <f t="shared" si="0"/>
        <v>900</v>
      </c>
      <c r="N11" s="21" t="s">
        <v>37</v>
      </c>
    </row>
    <row r="12" spans="1:14" x14ac:dyDescent="0.2">
      <c r="A12" s="27" t="s">
        <v>46</v>
      </c>
      <c r="B12" s="28" t="s">
        <v>42</v>
      </c>
      <c r="C12" s="29" t="s">
        <v>32</v>
      </c>
      <c r="D12" s="30">
        <v>210</v>
      </c>
      <c r="E12" s="30">
        <v>40</v>
      </c>
      <c r="F12" s="30"/>
      <c r="G12" s="31" t="s">
        <v>43</v>
      </c>
      <c r="H12" s="32" t="s">
        <v>44</v>
      </c>
      <c r="I12" s="32" t="s">
        <v>35</v>
      </c>
      <c r="J12" s="32" t="s">
        <v>45</v>
      </c>
      <c r="K12" s="33">
        <v>580</v>
      </c>
      <c r="L12" s="33">
        <v>380</v>
      </c>
      <c r="M12" s="34">
        <f t="shared" si="0"/>
        <v>960</v>
      </c>
      <c r="N12" s="29" t="s">
        <v>37</v>
      </c>
    </row>
    <row r="13" spans="1:14" x14ac:dyDescent="0.2">
      <c r="A13" s="15" t="s">
        <v>47</v>
      </c>
      <c r="B13" s="20" t="s">
        <v>48</v>
      </c>
      <c r="C13" s="21" t="s">
        <v>32</v>
      </c>
      <c r="D13" s="22"/>
      <c r="E13" s="22">
        <v>60</v>
      </c>
      <c r="F13" s="22">
        <v>40</v>
      </c>
      <c r="G13" s="23" t="s">
        <v>43</v>
      </c>
      <c r="H13" s="24" t="s">
        <v>44</v>
      </c>
      <c r="I13" s="24" t="s">
        <v>35</v>
      </c>
      <c r="J13" s="24" t="s">
        <v>49</v>
      </c>
      <c r="K13" s="25">
        <v>280</v>
      </c>
      <c r="L13" s="25">
        <v>120</v>
      </c>
      <c r="M13" s="26">
        <f t="shared" si="0"/>
        <v>400</v>
      </c>
      <c r="N13" s="21" t="s">
        <v>37</v>
      </c>
    </row>
    <row r="14" spans="1:14" x14ac:dyDescent="0.2">
      <c r="A14" s="27" t="s">
        <v>50</v>
      </c>
      <c r="B14" s="28" t="s">
        <v>48</v>
      </c>
      <c r="C14" s="29" t="s">
        <v>32</v>
      </c>
      <c r="D14" s="30"/>
      <c r="E14" s="30">
        <v>90</v>
      </c>
      <c r="F14" s="30">
        <v>40</v>
      </c>
      <c r="G14" s="31" t="s">
        <v>43</v>
      </c>
      <c r="H14" s="32" t="s">
        <v>44</v>
      </c>
      <c r="I14" s="32" t="s">
        <v>35</v>
      </c>
      <c r="J14" s="32" t="s">
        <v>49</v>
      </c>
      <c r="K14" s="33">
        <v>320</v>
      </c>
      <c r="L14" s="33">
        <v>120</v>
      </c>
      <c r="M14" s="34">
        <f t="shared" si="0"/>
        <v>440</v>
      </c>
      <c r="N14" s="29" t="s">
        <v>37</v>
      </c>
    </row>
    <row r="15" spans="1:14" x14ac:dyDescent="0.2">
      <c r="A15" s="15" t="s">
        <v>51</v>
      </c>
      <c r="B15" s="20" t="s">
        <v>52</v>
      </c>
      <c r="C15" s="21" t="s">
        <v>32</v>
      </c>
      <c r="D15" s="22"/>
      <c r="E15" s="22">
        <v>60</v>
      </c>
      <c r="F15" s="22">
        <v>40</v>
      </c>
      <c r="G15" s="23" t="s">
        <v>43</v>
      </c>
      <c r="H15" s="24" t="s">
        <v>44</v>
      </c>
      <c r="I15" s="24" t="s">
        <v>35</v>
      </c>
      <c r="J15" s="24" t="s">
        <v>53</v>
      </c>
      <c r="K15" s="25">
        <v>310</v>
      </c>
      <c r="L15" s="25">
        <v>130</v>
      </c>
      <c r="M15" s="26">
        <f t="shared" si="0"/>
        <v>440</v>
      </c>
      <c r="N15" s="21" t="s">
        <v>37</v>
      </c>
    </row>
    <row r="16" spans="1:14" x14ac:dyDescent="0.2">
      <c r="A16" s="27" t="s">
        <v>54</v>
      </c>
      <c r="B16" s="28" t="s">
        <v>55</v>
      </c>
      <c r="C16" s="29" t="s">
        <v>56</v>
      </c>
      <c r="D16" s="30">
        <v>15</v>
      </c>
      <c r="E16" s="30">
        <v>60</v>
      </c>
      <c r="F16" s="30">
        <v>40</v>
      </c>
      <c r="G16" s="31" t="s">
        <v>43</v>
      </c>
      <c r="H16" s="32" t="s">
        <v>44</v>
      </c>
      <c r="I16" s="32" t="s">
        <v>53</v>
      </c>
      <c r="J16" s="32" t="s">
        <v>49</v>
      </c>
      <c r="K16" s="33">
        <v>480</v>
      </c>
      <c r="L16" s="33">
        <v>250</v>
      </c>
      <c r="M16" s="34">
        <f t="shared" si="0"/>
        <v>730</v>
      </c>
      <c r="N16" s="29" t="s">
        <v>37</v>
      </c>
    </row>
    <row r="17" spans="1:14" x14ac:dyDescent="0.2">
      <c r="A17" s="15" t="s">
        <v>57</v>
      </c>
      <c r="B17" s="20" t="s">
        <v>58</v>
      </c>
      <c r="C17" s="21" t="s">
        <v>56</v>
      </c>
      <c r="D17" s="22">
        <v>15</v>
      </c>
      <c r="E17" s="22">
        <v>60</v>
      </c>
      <c r="F17" s="22">
        <v>40</v>
      </c>
      <c r="G17" s="23" t="s">
        <v>43</v>
      </c>
      <c r="H17" s="24" t="s">
        <v>44</v>
      </c>
      <c r="I17" s="24" t="s">
        <v>59</v>
      </c>
      <c r="J17" s="24" t="s">
        <v>49</v>
      </c>
      <c r="K17" s="25">
        <v>620</v>
      </c>
      <c r="L17" s="25">
        <v>280</v>
      </c>
      <c r="M17" s="26">
        <f t="shared" si="0"/>
        <v>900</v>
      </c>
      <c r="N17" s="21" t="s">
        <v>37</v>
      </c>
    </row>
    <row r="18" spans="1:14" x14ac:dyDescent="0.2">
      <c r="A18" s="27" t="s">
        <v>60</v>
      </c>
      <c r="B18" s="28" t="s">
        <v>61</v>
      </c>
      <c r="C18" s="29" t="s">
        <v>56</v>
      </c>
      <c r="D18" s="30">
        <v>20</v>
      </c>
      <c r="E18" s="30">
        <v>60</v>
      </c>
      <c r="F18" s="30">
        <v>50</v>
      </c>
      <c r="G18" s="31" t="s">
        <v>43</v>
      </c>
      <c r="H18" s="32" t="s">
        <v>44</v>
      </c>
      <c r="I18" s="32" t="s">
        <v>59</v>
      </c>
      <c r="J18" s="32" t="s">
        <v>49</v>
      </c>
      <c r="K18" s="33">
        <v>720</v>
      </c>
      <c r="L18" s="33">
        <v>300</v>
      </c>
      <c r="M18" s="34">
        <f t="shared" si="0"/>
        <v>1020</v>
      </c>
      <c r="N18" s="29" t="s">
        <v>37</v>
      </c>
    </row>
    <row r="19" spans="1:14" x14ac:dyDescent="0.2">
      <c r="A19" s="15" t="s">
        <v>62</v>
      </c>
      <c r="B19" s="20" t="s">
        <v>63</v>
      </c>
      <c r="C19" s="21" t="s">
        <v>64</v>
      </c>
      <c r="D19" s="22">
        <v>195</v>
      </c>
      <c r="E19" s="22">
        <v>50</v>
      </c>
      <c r="F19" s="22"/>
      <c r="G19" s="23" t="s">
        <v>43</v>
      </c>
      <c r="H19" s="24" t="s">
        <v>44</v>
      </c>
      <c r="I19" s="24" t="s">
        <v>65</v>
      </c>
      <c r="J19" s="24" t="s">
        <v>66</v>
      </c>
      <c r="K19" s="25">
        <v>680</v>
      </c>
      <c r="L19" s="25">
        <v>350</v>
      </c>
      <c r="M19" s="26">
        <f t="shared" si="0"/>
        <v>1030</v>
      </c>
      <c r="N19" s="21" t="s">
        <v>37</v>
      </c>
    </row>
    <row r="20" spans="1:14" x14ac:dyDescent="0.2">
      <c r="A20" s="27" t="s">
        <v>67</v>
      </c>
      <c r="B20" s="28" t="s">
        <v>68</v>
      </c>
      <c r="C20" s="29" t="s">
        <v>64</v>
      </c>
      <c r="D20" s="30">
        <v>195</v>
      </c>
      <c r="E20" s="30">
        <v>50</v>
      </c>
      <c r="F20" s="30"/>
      <c r="G20" s="31" t="s">
        <v>33</v>
      </c>
      <c r="H20" s="32" t="s">
        <v>34</v>
      </c>
      <c r="I20" s="32" t="s">
        <v>65</v>
      </c>
      <c r="J20" s="32" t="s">
        <v>66</v>
      </c>
      <c r="K20" s="33">
        <v>1200</v>
      </c>
      <c r="L20" s="33">
        <v>500</v>
      </c>
      <c r="M20" s="34">
        <f t="shared" si="0"/>
        <v>1700</v>
      </c>
      <c r="N20" s="29" t="s">
        <v>37</v>
      </c>
    </row>
    <row r="21" spans="1:14" x14ac:dyDescent="0.2">
      <c r="A21" s="15" t="s">
        <v>69</v>
      </c>
      <c r="B21" s="20" t="s">
        <v>70</v>
      </c>
      <c r="C21" s="21" t="s">
        <v>64</v>
      </c>
      <c r="D21" s="22">
        <v>195</v>
      </c>
      <c r="E21" s="22">
        <v>60</v>
      </c>
      <c r="F21" s="22"/>
      <c r="G21" s="23" t="s">
        <v>43</v>
      </c>
      <c r="H21" s="24" t="s">
        <v>44</v>
      </c>
      <c r="I21" s="24" t="s">
        <v>71</v>
      </c>
      <c r="J21" s="24" t="s">
        <v>72</v>
      </c>
      <c r="K21" s="25">
        <v>850</v>
      </c>
      <c r="L21" s="25">
        <v>380</v>
      </c>
      <c r="M21" s="26">
        <f t="shared" si="0"/>
        <v>1230</v>
      </c>
      <c r="N21" s="21" t="s">
        <v>37</v>
      </c>
    </row>
    <row r="22" spans="1:14" ht="28" x14ac:dyDescent="0.2">
      <c r="A22" s="27" t="s">
        <v>73</v>
      </c>
      <c r="B22" s="28" t="s">
        <v>74</v>
      </c>
      <c r="C22" s="29" t="s">
        <v>64</v>
      </c>
      <c r="D22" s="30">
        <v>210</v>
      </c>
      <c r="E22" s="30">
        <v>60</v>
      </c>
      <c r="F22" s="30"/>
      <c r="G22" s="31" t="s">
        <v>75</v>
      </c>
      <c r="H22" s="32" t="s">
        <v>76</v>
      </c>
      <c r="I22" s="32" t="s">
        <v>71</v>
      </c>
      <c r="J22" s="32" t="s">
        <v>72</v>
      </c>
      <c r="K22" s="33">
        <v>980</v>
      </c>
      <c r="L22" s="33">
        <v>400</v>
      </c>
      <c r="M22" s="34">
        <f t="shared" si="0"/>
        <v>1380</v>
      </c>
      <c r="N22" s="29" t="s">
        <v>37</v>
      </c>
    </row>
    <row r="23" spans="1:14" x14ac:dyDescent="0.2">
      <c r="A23" s="15" t="s">
        <v>77</v>
      </c>
      <c r="B23" s="20" t="s">
        <v>78</v>
      </c>
      <c r="C23" s="21" t="s">
        <v>79</v>
      </c>
      <c r="D23" s="22">
        <v>40</v>
      </c>
      <c r="E23" s="22">
        <v>60</v>
      </c>
      <c r="F23" s="22">
        <v>40</v>
      </c>
      <c r="G23" s="23" t="s">
        <v>80</v>
      </c>
      <c r="H23" s="24" t="s">
        <v>81</v>
      </c>
      <c r="I23" s="24" t="s">
        <v>49</v>
      </c>
      <c r="J23" s="24"/>
      <c r="K23" s="25">
        <v>320</v>
      </c>
      <c r="L23" s="25">
        <v>80</v>
      </c>
      <c r="M23" s="26">
        <f t="shared" si="0"/>
        <v>400</v>
      </c>
      <c r="N23" s="21" t="s">
        <v>37</v>
      </c>
    </row>
    <row r="24" spans="1:14" x14ac:dyDescent="0.2">
      <c r="A24" s="27" t="s">
        <v>82</v>
      </c>
      <c r="B24" s="28" t="s">
        <v>83</v>
      </c>
      <c r="C24" s="29" t="s">
        <v>79</v>
      </c>
      <c r="D24" s="30">
        <v>20</v>
      </c>
      <c r="E24" s="30">
        <v>60</v>
      </c>
      <c r="F24" s="30">
        <v>40</v>
      </c>
      <c r="G24" s="31" t="s">
        <v>80</v>
      </c>
      <c r="H24" s="32" t="s">
        <v>84</v>
      </c>
      <c r="I24" s="32" t="s">
        <v>49</v>
      </c>
      <c r="J24" s="32"/>
      <c r="K24" s="33">
        <v>285</v>
      </c>
      <c r="L24" s="33">
        <v>60</v>
      </c>
      <c r="M24" s="34">
        <f t="shared" si="0"/>
        <v>345</v>
      </c>
      <c r="N24" s="29" t="s">
        <v>37</v>
      </c>
    </row>
    <row r="25" spans="1:14" x14ac:dyDescent="0.2">
      <c r="A25" s="15" t="s">
        <v>85</v>
      </c>
      <c r="B25" s="20" t="s">
        <v>86</v>
      </c>
      <c r="C25" s="21" t="s">
        <v>79</v>
      </c>
      <c r="D25" s="22">
        <v>195</v>
      </c>
      <c r="E25" s="22">
        <v>60</v>
      </c>
      <c r="F25" s="22">
        <v>55</v>
      </c>
      <c r="G25" s="23" t="s">
        <v>43</v>
      </c>
      <c r="H25" s="24" t="s">
        <v>44</v>
      </c>
      <c r="I25" s="24" t="s">
        <v>53</v>
      </c>
      <c r="J25" s="24" t="s">
        <v>35</v>
      </c>
      <c r="K25" s="25">
        <v>580</v>
      </c>
      <c r="L25" s="25">
        <v>200</v>
      </c>
      <c r="M25" s="26">
        <f t="shared" si="0"/>
        <v>780</v>
      </c>
      <c r="N25" s="21" t="s">
        <v>37</v>
      </c>
    </row>
    <row r="26" spans="1:14" x14ac:dyDescent="0.2">
      <c r="A26" s="27" t="s">
        <v>87</v>
      </c>
      <c r="B26" s="28" t="s">
        <v>88</v>
      </c>
      <c r="C26" s="29" t="s">
        <v>79</v>
      </c>
      <c r="D26" s="30">
        <v>120</v>
      </c>
      <c r="E26" s="30">
        <v>60</v>
      </c>
      <c r="F26" s="30">
        <v>55</v>
      </c>
      <c r="G26" s="31" t="s">
        <v>43</v>
      </c>
      <c r="H26" s="32" t="s">
        <v>44</v>
      </c>
      <c r="I26" s="32" t="s">
        <v>53</v>
      </c>
      <c r="J26" s="32" t="s">
        <v>35</v>
      </c>
      <c r="K26" s="33">
        <v>420</v>
      </c>
      <c r="L26" s="33">
        <v>180</v>
      </c>
      <c r="M26" s="34">
        <f t="shared" si="0"/>
        <v>600</v>
      </c>
      <c r="N26" s="29" t="s">
        <v>37</v>
      </c>
    </row>
    <row r="27" spans="1:14" x14ac:dyDescent="0.2">
      <c r="A27" s="15" t="s">
        <v>89</v>
      </c>
      <c r="B27" s="20" t="s">
        <v>90</v>
      </c>
      <c r="C27" s="21" t="s">
        <v>91</v>
      </c>
      <c r="D27" s="22"/>
      <c r="E27" s="22">
        <v>100</v>
      </c>
      <c r="F27" s="22"/>
      <c r="G27" s="23" t="s">
        <v>92</v>
      </c>
      <c r="H27" s="24" t="s">
        <v>93</v>
      </c>
      <c r="I27" s="24"/>
      <c r="J27" s="24"/>
      <c r="K27" s="25">
        <v>220</v>
      </c>
      <c r="L27" s="25">
        <v>120</v>
      </c>
      <c r="M27" s="26">
        <f t="shared" si="0"/>
        <v>340</v>
      </c>
      <c r="N27" s="21" t="s">
        <v>37</v>
      </c>
    </row>
    <row r="28" spans="1:14" x14ac:dyDescent="0.2">
      <c r="A28" s="27" t="s">
        <v>94</v>
      </c>
      <c r="B28" s="28" t="s">
        <v>95</v>
      </c>
      <c r="C28" s="29" t="s">
        <v>96</v>
      </c>
      <c r="D28" s="30"/>
      <c r="E28" s="30"/>
      <c r="F28" s="30"/>
      <c r="G28" s="31" t="s">
        <v>97</v>
      </c>
      <c r="H28" s="32" t="s">
        <v>98</v>
      </c>
      <c r="I28" s="32"/>
      <c r="J28" s="32"/>
      <c r="K28" s="33">
        <v>700</v>
      </c>
      <c r="L28" s="33">
        <v>0</v>
      </c>
      <c r="M28" s="34">
        <f t="shared" si="0"/>
        <v>700</v>
      </c>
      <c r="N28" s="29" t="s">
        <v>37</v>
      </c>
    </row>
    <row r="29" spans="1:14" x14ac:dyDescent="0.2">
      <c r="A29" s="15" t="s">
        <v>99</v>
      </c>
      <c r="B29" s="20" t="s">
        <v>100</v>
      </c>
      <c r="C29" s="21" t="s">
        <v>96</v>
      </c>
      <c r="D29" s="22"/>
      <c r="E29" s="22"/>
      <c r="F29" s="22"/>
      <c r="G29" s="23" t="s">
        <v>97</v>
      </c>
      <c r="H29" s="24" t="s">
        <v>98</v>
      </c>
      <c r="I29" s="24" t="s">
        <v>101</v>
      </c>
      <c r="J29" s="24"/>
      <c r="K29" s="25">
        <v>1350</v>
      </c>
      <c r="L29" s="25">
        <v>0</v>
      </c>
      <c r="M29" s="26">
        <f t="shared" si="0"/>
        <v>1350</v>
      </c>
      <c r="N29" s="21" t="s">
        <v>37</v>
      </c>
    </row>
    <row r="31" spans="1:14" x14ac:dyDescent="0.2">
      <c r="A31" s="7" t="s">
        <v>102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</sheetData>
  <mergeCells count="7">
    <mergeCell ref="A31:N31"/>
    <mergeCell ref="A1:N1"/>
    <mergeCell ref="A2:N2"/>
    <mergeCell ref="A4:C4"/>
    <mergeCell ref="D4:G4"/>
    <mergeCell ref="H4:J4"/>
    <mergeCell ref="K4:N4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1F114-1388-C44D-BF81-220228CC0382}">
  <dimension ref="A1:F23"/>
  <sheetViews>
    <sheetView workbookViewId="0"/>
  </sheetViews>
  <sheetFormatPr baseColWidth="10" defaultRowHeight="15" x14ac:dyDescent="0.2"/>
  <sheetData>
    <row r="1" spans="1:6" x14ac:dyDescent="0.2">
      <c r="A1" t="s">
        <v>169</v>
      </c>
      <c r="B1" t="s">
        <v>204</v>
      </c>
      <c r="C1" t="s">
        <v>206</v>
      </c>
      <c r="D1" t="s">
        <v>22</v>
      </c>
      <c r="E1" t="s">
        <v>207</v>
      </c>
      <c r="F1" t="s">
        <v>168</v>
      </c>
    </row>
    <row r="2" spans="1:6" x14ac:dyDescent="0.2">
      <c r="B2">
        <v>5</v>
      </c>
    </row>
    <row r="3" spans="1:6" x14ac:dyDescent="0.2">
      <c r="A3" t="s">
        <v>192</v>
      </c>
      <c r="B3">
        <v>40</v>
      </c>
      <c r="C3">
        <v>35</v>
      </c>
      <c r="D3" t="s">
        <v>178</v>
      </c>
      <c r="E3">
        <v>16</v>
      </c>
      <c r="F3" t="s">
        <v>1592</v>
      </c>
    </row>
    <row r="4" spans="1:6" x14ac:dyDescent="0.2">
      <c r="A4" t="s">
        <v>193</v>
      </c>
      <c r="B4">
        <v>50</v>
      </c>
      <c r="C4">
        <v>40</v>
      </c>
      <c r="D4" t="s">
        <v>33</v>
      </c>
      <c r="E4">
        <v>22</v>
      </c>
      <c r="F4" t="s">
        <v>1593</v>
      </c>
    </row>
    <row r="5" spans="1:6" x14ac:dyDescent="0.2">
      <c r="A5" t="s">
        <v>194</v>
      </c>
      <c r="B5">
        <v>60</v>
      </c>
      <c r="C5">
        <v>45</v>
      </c>
      <c r="D5" t="s">
        <v>179</v>
      </c>
      <c r="E5" t="s">
        <v>205</v>
      </c>
      <c r="F5" t="s">
        <v>1594</v>
      </c>
    </row>
    <row r="6" spans="1:6" x14ac:dyDescent="0.2">
      <c r="A6" t="s">
        <v>195</v>
      </c>
      <c r="B6">
        <v>70</v>
      </c>
      <c r="C6">
        <v>50</v>
      </c>
      <c r="F6" t="s">
        <v>1595</v>
      </c>
    </row>
    <row r="7" spans="1:6" x14ac:dyDescent="0.2">
      <c r="A7" t="s">
        <v>196</v>
      </c>
      <c r="B7" t="s">
        <v>205</v>
      </c>
      <c r="C7">
        <v>55</v>
      </c>
      <c r="F7" t="s">
        <v>1596</v>
      </c>
    </row>
    <row r="8" spans="1:6" x14ac:dyDescent="0.2">
      <c r="A8" t="s">
        <v>197</v>
      </c>
      <c r="C8">
        <v>60</v>
      </c>
      <c r="F8" t="s">
        <v>1597</v>
      </c>
    </row>
    <row r="9" spans="1:6" x14ac:dyDescent="0.2">
      <c r="A9" t="s">
        <v>198</v>
      </c>
      <c r="C9" t="s">
        <v>205</v>
      </c>
      <c r="F9" t="s">
        <v>1598</v>
      </c>
    </row>
    <row r="10" spans="1:6" x14ac:dyDescent="0.2">
      <c r="A10" t="s">
        <v>199</v>
      </c>
      <c r="C10" t="s">
        <v>97</v>
      </c>
      <c r="F10" t="s">
        <v>1599</v>
      </c>
    </row>
    <row r="11" spans="1:6" x14ac:dyDescent="0.2">
      <c r="A11" t="s">
        <v>200</v>
      </c>
      <c r="F11" t="s">
        <v>1600</v>
      </c>
    </row>
    <row r="12" spans="1:6" x14ac:dyDescent="0.2">
      <c r="A12" t="s">
        <v>201</v>
      </c>
      <c r="F12" t="s">
        <v>1601</v>
      </c>
    </row>
    <row r="13" spans="1:6" x14ac:dyDescent="0.2">
      <c r="A13" t="s">
        <v>202</v>
      </c>
    </row>
    <row r="14" spans="1:6" x14ac:dyDescent="0.2">
      <c r="A14" t="s">
        <v>203</v>
      </c>
    </row>
    <row r="15" spans="1:6" x14ac:dyDescent="0.2">
      <c r="A15" t="s">
        <v>1614</v>
      </c>
    </row>
    <row r="16" spans="1:6" x14ac:dyDescent="0.2">
      <c r="A16" t="s">
        <v>1622</v>
      </c>
    </row>
    <row r="17" spans="1:1" x14ac:dyDescent="0.2">
      <c r="A17" t="s">
        <v>1623</v>
      </c>
    </row>
    <row r="18" spans="1:1" x14ac:dyDescent="0.2">
      <c r="A18" t="s">
        <v>708</v>
      </c>
    </row>
    <row r="19" spans="1:1" x14ac:dyDescent="0.2">
      <c r="A19" t="s">
        <v>1624</v>
      </c>
    </row>
    <row r="20" spans="1:1" x14ac:dyDescent="0.2">
      <c r="A20" t="s">
        <v>1625</v>
      </c>
    </row>
    <row r="21" spans="1:1" x14ac:dyDescent="0.2">
      <c r="A21" t="s">
        <v>1626</v>
      </c>
    </row>
    <row r="22" spans="1:1" x14ac:dyDescent="0.2">
      <c r="A22" t="s">
        <v>1627</v>
      </c>
    </row>
    <row r="23" spans="1:1" x14ac:dyDescent="0.2">
      <c r="A23" t="s">
        <v>1628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FUO</vt:lpstr>
      <vt:lpstr>INSUMOS</vt:lpstr>
      <vt:lpstr>COSTOS_M2</vt:lpstr>
      <vt:lpstr>MANO_DE_OBRA</vt:lpstr>
      <vt:lpstr>HERRAJES</vt:lpstr>
      <vt:lpstr>COTIZADOR</vt:lpstr>
      <vt:lpstr>PRESUPUESTO_CLIENTE</vt:lpstr>
      <vt:lpstr>GUÍA DE USO</vt:lpstr>
      <vt:lpstr>COMPONENTES</vt:lpstr>
      <vt:lpstr>_LISTAS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Torres</cp:lastModifiedBy>
  <cp:revision>0</cp:revision>
  <dcterms:created xsi:type="dcterms:W3CDTF">2026-02-26T03:22:10Z</dcterms:created>
  <dcterms:modified xsi:type="dcterms:W3CDTF">2026-02-28T07:17:09Z</dcterms:modified>
  <dc:language>en-US</dc:language>
</cp:coreProperties>
</file>